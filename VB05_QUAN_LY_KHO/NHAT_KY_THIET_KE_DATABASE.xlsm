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5">USER_FLOW_BP_KE_HOACH_NEW!#REF!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<sst xmlns="http://schemas.openxmlformats.org/spreadsheetml/2006/main" count="559" uniqueCount="188">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</sst>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4.83265306122449</c:v>
                </c:pt>
                <c:pt idx="1">
                  <c:v>4.83265306122449</c:v>
                </c:pt>
                <c:pt idx="2">
                  <c:v>4.83265306122449</c:v>
                </c:pt>
                <c:pt idx="3">
                  <c:v>4.83265306122449</c:v>
                </c:pt>
                <c:pt idx="4">
                  <c:v>4.83265306122449</c:v>
                </c:pt>
                <c:pt idx="5">
                  <c:v>4.83265306122449</c:v>
                </c:pt>
                <c:pt idx="6">
                  <c:v>4.83265306122449</c:v>
                </c:pt>
                <c:pt idx="7">
                  <c:v>4.83265306122449</c:v>
                </c:pt>
                <c:pt idx="8">
                  <c:v>4.83265306122449</c:v>
                </c:pt>
                <c:pt idx="9">
                  <c:v>4.83265306122449</c:v>
                </c:pt>
                <c:pt idx="10">
                  <c:v>4.83265306122449</c:v>
                </c:pt>
                <c:pt idx="11">
                  <c:v>4.83265306122449</c:v>
                </c:pt>
                <c:pt idx="12">
                  <c:v>4.83265306122449</c:v>
                </c:pt>
                <c:pt idx="13">
                  <c:v>4.83265306122449</c:v>
                </c:pt>
                <c:pt idx="14">
                  <c:v>4.83265306122449</c:v>
                </c:pt>
                <c:pt idx="15">
                  <c:v>4.83265306122449</c:v>
                </c:pt>
                <c:pt idx="16">
                  <c:v>4.83265306122449</c:v>
                </c:pt>
                <c:pt idx="17">
                  <c:v>4.83265306122449</c:v>
                </c:pt>
                <c:pt idx="18">
                  <c:v>4.83265306122449</c:v>
                </c:pt>
                <c:pt idx="19">
                  <c:v>4.83265306122449</c:v>
                </c:pt>
                <c:pt idx="20">
                  <c:v>4.83265306122449</c:v>
                </c:pt>
                <c:pt idx="21">
                  <c:v>4.83265306122449</c:v>
                </c:pt>
                <c:pt idx="22">
                  <c:v>4.83265306122449</c:v>
                </c:pt>
                <c:pt idx="23">
                  <c:v>4.83265306122449</c:v>
                </c:pt>
                <c:pt idx="24">
                  <c:v>4.83265306122449</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5.0237154150197627</c:v>
                </c:pt>
                <c:pt idx="1">
                  <c:v>5.0068027210884356</c:v>
                </c:pt>
                <c:pt idx="2">
                  <c:v>5.0068027210884356</c:v>
                </c:pt>
                <c:pt idx="3">
                  <c:v>5.0068027210884356</c:v>
                </c:pt>
                <c:pt idx="4">
                  <c:v>4.8875685557586834</c:v>
                </c:pt>
                <c:pt idx="5">
                  <c:v>4.8875685557586834</c:v>
                </c:pt>
                <c:pt idx="6">
                  <c:v>4.8912466843501328</c:v>
                </c:pt>
                <c:pt idx="7">
                  <c:v>4.8912466843501328</c:v>
                </c:pt>
                <c:pt idx="8">
                  <c:v>4.8912466843501328</c:v>
                </c:pt>
                <c:pt idx="9">
                  <c:v>4.8912466843501328</c:v>
                </c:pt>
                <c:pt idx="10">
                  <c:v>4.8912466843501328</c:v>
                </c:pt>
                <c:pt idx="11">
                  <c:v>4.8912466843501328</c:v>
                </c:pt>
                <c:pt idx="12">
                  <c:v>4.8931364031277154</c:v>
                </c:pt>
                <c:pt idx="13">
                  <c:v>4.8931364031277154</c:v>
                </c:pt>
                <c:pt idx="14">
                  <c:v>4.8931364031277154</c:v>
                </c:pt>
                <c:pt idx="15">
                  <c:v>4.8931364031277154</c:v>
                </c:pt>
                <c:pt idx="16">
                  <c:v>4.8931364031277154</c:v>
                </c:pt>
                <c:pt idx="17">
                  <c:v>4.8931364031277154</c:v>
                </c:pt>
                <c:pt idx="18">
                  <c:v>4.8931364031277154</c:v>
                </c:pt>
                <c:pt idx="19">
                  <c:v>4.8931364031277154</c:v>
                </c:pt>
                <c:pt idx="20">
                  <c:v>4.8931364031277154</c:v>
                </c:pt>
                <c:pt idx="21">
                  <c:v>4.8447000821692683</c:v>
                </c:pt>
                <c:pt idx="22">
                  <c:v>4.8447000821692683</c:v>
                </c:pt>
                <c:pt idx="23">
                  <c:v>4.83265306122449</c:v>
                </c:pt>
                <c:pt idx="24">
                  <c:v>4.83265306122449</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24</xdr:row>
      <xdr:rowOff>17317</xdr:rowOff>
    </xdr:from>
    <xdr:to>
      <xdr:col>49</xdr:col>
      <xdr:colOff>277092</xdr:colOff>
      <xdr:row>66</xdr:row>
      <xdr:rowOff>69272</xdr:rowOff>
    </xdr:to>
    <xdr:sp macro="" textlink="">
      <xdr:nvSpPr>
        <xdr:cNvPr id="155" name="Rounded Rectangle 154"/>
        <xdr:cNvSpPr/>
      </xdr:nvSpPr>
      <xdr:spPr>
        <a:xfrm>
          <a:off x="24418638" y="4589317"/>
          <a:ext cx="5559136"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21</xdr:col>
      <xdr:colOff>256311</xdr:colOff>
      <xdr:row>20</xdr:row>
      <xdr:rowOff>17319</xdr:rowOff>
    </xdr:from>
    <xdr:to>
      <xdr:col>25</xdr:col>
      <xdr:colOff>138546</xdr:colOff>
      <xdr:row>45</xdr:row>
      <xdr:rowOff>178376</xdr:rowOff>
    </xdr:to>
    <xdr:cxnSp macro="">
      <xdr:nvCxnSpPr>
        <xdr:cNvPr id="532" name="Straight Arrow Connector 531"/>
        <xdr:cNvCxnSpPr>
          <a:stCxn id="528" idx="3"/>
          <a:endCxn id="419" idx="2"/>
        </xdr:cNvCxnSpPr>
      </xdr:nvCxnSpPr>
      <xdr:spPr>
        <a:xfrm flipV="1">
          <a:off x="12985175" y="3827319"/>
          <a:ext cx="2306780" cy="492355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554182</xdr:colOff>
      <xdr:row>8</xdr:row>
      <xdr:rowOff>13011</xdr:rowOff>
    </xdr:from>
    <xdr:to>
      <xdr:col>32</xdr:col>
      <xdr:colOff>7944</xdr:colOff>
      <xdr:row>16</xdr:row>
      <xdr:rowOff>155865</xdr:rowOff>
    </xdr:to>
    <xdr:cxnSp macro="">
      <xdr:nvCxnSpPr>
        <xdr:cNvPr id="428" name="Straight Arrow Connector 427"/>
        <xdr:cNvCxnSpPr>
          <a:stCxn id="419" idx="3"/>
          <a:endCxn id="28" idx="1"/>
        </xdr:cNvCxnSpPr>
      </xdr:nvCxnSpPr>
      <xdr:spPr>
        <a:xfrm flipV="1">
          <a:off x="16919864" y="1537011"/>
          <a:ext cx="2484444" cy="16668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7" name="Rectangle 6"/>
        <xdr:cNvSpPr/>
      </xdr:nvSpPr>
      <xdr:spPr>
        <a:xfrm>
          <a:off x="299049" y="86591"/>
          <a:ext cx="3766457"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8" name="Rounded Rectangle 7"/>
        <xdr:cNvSpPr>
          <a:spLocks noChangeAspect="1"/>
        </xdr:cNvSpPr>
      </xdr:nvSpPr>
      <xdr:spPr>
        <a:xfrm>
          <a:off x="260392" y="545748"/>
          <a:ext cx="1978478"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19</xdr:col>
      <xdr:colOff>277112</xdr:colOff>
      <xdr:row>5</xdr:row>
      <xdr:rowOff>80470</xdr:rowOff>
    </xdr:from>
    <xdr:to>
      <xdr:col>24</xdr:col>
      <xdr:colOff>13933</xdr:colOff>
      <xdr:row>10</xdr:row>
      <xdr:rowOff>86591</xdr:rowOff>
    </xdr:to>
    <xdr:sp macro="" textlink="">
      <xdr:nvSpPr>
        <xdr:cNvPr id="9" name="Rounded Rectangle 8"/>
        <xdr:cNvSpPr/>
      </xdr:nvSpPr>
      <xdr:spPr>
        <a:xfrm>
          <a:off x="11793703" y="1032970"/>
          <a:ext cx="2767503" cy="95862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592840</xdr:colOff>
      <xdr:row>4</xdr:row>
      <xdr:rowOff>34539</xdr:rowOff>
    </xdr:from>
    <xdr:to>
      <xdr:col>28</xdr:col>
      <xdr:colOff>103909</xdr:colOff>
      <xdr:row>11</xdr:row>
      <xdr:rowOff>86591</xdr:rowOff>
    </xdr:to>
    <xdr:sp macro="" textlink="">
      <xdr:nvSpPr>
        <xdr:cNvPr id="10" name="Diamond 9"/>
        <xdr:cNvSpPr/>
      </xdr:nvSpPr>
      <xdr:spPr>
        <a:xfrm>
          <a:off x="15140113" y="796539"/>
          <a:ext cx="1935614" cy="138555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29</xdr:col>
      <xdr:colOff>95243</xdr:colOff>
      <xdr:row>6</xdr:row>
      <xdr:rowOff>149370</xdr:rowOff>
    </xdr:from>
    <xdr:to>
      <xdr:col>30</xdr:col>
      <xdr:colOff>129880</xdr:colOff>
      <xdr:row>8</xdr:row>
      <xdr:rowOff>130320</xdr:rowOff>
    </xdr:to>
    <xdr:sp macro="" textlink="">
      <xdr:nvSpPr>
        <xdr:cNvPr id="11" name="Rounded Rectangle 10"/>
        <xdr:cNvSpPr/>
      </xdr:nvSpPr>
      <xdr:spPr>
        <a:xfrm>
          <a:off x="17673198" y="1292370"/>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3</xdr:col>
      <xdr:colOff>78452</xdr:colOff>
      <xdr:row>13</xdr:row>
      <xdr:rowOff>86277</xdr:rowOff>
    </xdr:from>
    <xdr:to>
      <xdr:col>4</xdr:col>
      <xdr:colOff>50549</xdr:colOff>
      <xdr:row>15</xdr:row>
      <xdr:rowOff>42536</xdr:rowOff>
    </xdr:to>
    <xdr:sp macro="" textlink="">
      <xdr:nvSpPr>
        <xdr:cNvPr id="12" name="Rounded Rectangle 11"/>
        <xdr:cNvSpPr/>
      </xdr:nvSpPr>
      <xdr:spPr>
        <a:xfrm>
          <a:off x="1896861" y="2562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15</xdr:row>
      <xdr:rowOff>42536</xdr:rowOff>
    </xdr:from>
    <xdr:to>
      <xdr:col>3</xdr:col>
      <xdr:colOff>367569</xdr:colOff>
      <xdr:row>19</xdr:row>
      <xdr:rowOff>93518</xdr:rowOff>
    </xdr:to>
    <xdr:cxnSp macro="">
      <xdr:nvCxnSpPr>
        <xdr:cNvPr id="13" name="Straight Arrow Connector 12"/>
        <xdr:cNvCxnSpPr>
          <a:stCxn id="12" idx="2"/>
          <a:endCxn id="70" idx="0"/>
        </xdr:cNvCxnSpPr>
      </xdr:nvCxnSpPr>
      <xdr:spPr>
        <a:xfrm flipH="1">
          <a:off x="900545" y="2900036"/>
          <a:ext cx="1285433" cy="81298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12125</xdr:colOff>
      <xdr:row>8</xdr:row>
      <xdr:rowOff>59874</xdr:rowOff>
    </xdr:from>
    <xdr:to>
      <xdr:col>13</xdr:col>
      <xdr:colOff>344177</xdr:colOff>
      <xdr:row>8</xdr:row>
      <xdr:rowOff>82911</xdr:rowOff>
    </xdr:to>
    <xdr:cxnSp macro="">
      <xdr:nvCxnSpPr>
        <xdr:cNvPr id="14" name="Straight Arrow Connector 13"/>
        <xdr:cNvCxnSpPr>
          <a:stCxn id="83" idx="3"/>
          <a:endCxn id="18" idx="1"/>
        </xdr:cNvCxnSpPr>
      </xdr:nvCxnSpPr>
      <xdr:spPr>
        <a:xfrm flipV="1">
          <a:off x="7891898" y="1583874"/>
          <a:ext cx="332052"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103909</xdr:colOff>
      <xdr:row>7</xdr:row>
      <xdr:rowOff>139845</xdr:rowOff>
    </xdr:from>
    <xdr:to>
      <xdr:col>29</xdr:col>
      <xdr:colOff>95243</xdr:colOff>
      <xdr:row>7</xdr:row>
      <xdr:rowOff>155815</xdr:rowOff>
    </xdr:to>
    <xdr:cxnSp macro="">
      <xdr:nvCxnSpPr>
        <xdr:cNvPr id="15" name="Straight Arrow Connector 14"/>
        <xdr:cNvCxnSpPr>
          <a:stCxn id="10" idx="3"/>
          <a:endCxn id="11" idx="1"/>
        </xdr:cNvCxnSpPr>
      </xdr:nvCxnSpPr>
      <xdr:spPr>
        <a:xfrm flipV="1">
          <a:off x="17075727" y="1473345"/>
          <a:ext cx="597471" cy="1597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50549</xdr:colOff>
      <xdr:row>11</xdr:row>
      <xdr:rowOff>86591</xdr:rowOff>
    </xdr:from>
    <xdr:to>
      <xdr:col>26</xdr:col>
      <xdr:colOff>348375</xdr:colOff>
      <xdr:row>14</xdr:row>
      <xdr:rowOff>64407</xdr:rowOff>
    </xdr:to>
    <xdr:cxnSp macro="">
      <xdr:nvCxnSpPr>
        <xdr:cNvPr id="16" name="Straight Arrow Connector 15"/>
        <xdr:cNvCxnSpPr>
          <a:stCxn id="10" idx="2"/>
          <a:endCxn id="12" idx="3"/>
        </xdr:cNvCxnSpPr>
      </xdr:nvCxnSpPr>
      <xdr:spPr>
        <a:xfrm flipH="1">
          <a:off x="2475094" y="2182091"/>
          <a:ext cx="13632826" cy="54931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344177</xdr:colOff>
      <xdr:row>5</xdr:row>
      <xdr:rowOff>189019</xdr:rowOff>
    </xdr:from>
    <xdr:to>
      <xdr:col>18</xdr:col>
      <xdr:colOff>488357</xdr:colOff>
      <xdr:row>10</xdr:row>
      <xdr:rowOff>121228</xdr:rowOff>
    </xdr:to>
    <xdr:sp macro="" textlink="">
      <xdr:nvSpPr>
        <xdr:cNvPr id="18" name="Rounded Rectangle 17"/>
        <xdr:cNvSpPr/>
      </xdr:nvSpPr>
      <xdr:spPr>
        <a:xfrm>
          <a:off x="8223950" y="1141519"/>
          <a:ext cx="3174862" cy="8847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30</xdr:col>
      <xdr:colOff>129880</xdr:colOff>
      <xdr:row>7</xdr:row>
      <xdr:rowOff>139845</xdr:rowOff>
    </xdr:from>
    <xdr:to>
      <xdr:col>32</xdr:col>
      <xdr:colOff>7944</xdr:colOff>
      <xdr:row>8</xdr:row>
      <xdr:rowOff>13011</xdr:rowOff>
    </xdr:to>
    <xdr:cxnSp macro="">
      <xdr:nvCxnSpPr>
        <xdr:cNvPr id="19" name="Straight Arrow Connector 18"/>
        <xdr:cNvCxnSpPr>
          <a:stCxn id="11" idx="3"/>
          <a:endCxn id="28" idx="1"/>
        </xdr:cNvCxnSpPr>
      </xdr:nvCxnSpPr>
      <xdr:spPr>
        <a:xfrm>
          <a:off x="18313971" y="1473345"/>
          <a:ext cx="1090337" cy="63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13933</xdr:colOff>
      <xdr:row>7</xdr:row>
      <xdr:rowOff>155815</xdr:rowOff>
    </xdr:from>
    <xdr:to>
      <xdr:col>24</xdr:col>
      <xdr:colOff>592840</xdr:colOff>
      <xdr:row>7</xdr:row>
      <xdr:rowOff>178781</xdr:rowOff>
    </xdr:to>
    <xdr:cxnSp macro="">
      <xdr:nvCxnSpPr>
        <xdr:cNvPr id="20" name="Straight Arrow Connector 19"/>
        <xdr:cNvCxnSpPr>
          <a:stCxn id="9" idx="3"/>
          <a:endCxn id="10" idx="1"/>
        </xdr:cNvCxnSpPr>
      </xdr:nvCxnSpPr>
      <xdr:spPr>
        <a:xfrm flipV="1">
          <a:off x="14561206" y="1489315"/>
          <a:ext cx="578907" cy="229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41</xdr:row>
      <xdr:rowOff>12129</xdr:rowOff>
    </xdr:from>
    <xdr:to>
      <xdr:col>45</xdr:col>
      <xdr:colOff>241188</xdr:colOff>
      <xdr:row>41</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44</xdr:row>
      <xdr:rowOff>110850</xdr:rowOff>
    </xdr:from>
    <xdr:to>
      <xdr:col>46</xdr:col>
      <xdr:colOff>596211</xdr:colOff>
      <xdr:row>46</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50</xdr:row>
      <xdr:rowOff>95814</xdr:rowOff>
    </xdr:from>
    <xdr:to>
      <xdr:col>45</xdr:col>
      <xdr:colOff>274322</xdr:colOff>
      <xdr:row>50</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0</xdr:row>
      <xdr:rowOff>86587</xdr:rowOff>
    </xdr:from>
    <xdr:to>
      <xdr:col>36</xdr:col>
      <xdr:colOff>502226</xdr:colOff>
      <xdr:row>15</xdr:row>
      <xdr:rowOff>129934</xdr:rowOff>
    </xdr:to>
    <xdr:sp macro="" textlink="">
      <xdr:nvSpPr>
        <xdr:cNvPr id="28" name="Rounded Rectangle 27"/>
        <xdr:cNvSpPr>
          <a:spLocks noChangeAspect="1"/>
        </xdr:cNvSpPr>
      </xdr:nvSpPr>
      <xdr:spPr>
        <a:xfrm>
          <a:off x="19404308" y="86587"/>
          <a:ext cx="2918827" cy="290084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thành phẩm (trạng thái: đủ hàng, SX ngay)</a:t>
          </a:r>
          <a:endParaRPr lang="en-US" sz="2400">
            <a:solidFill>
              <a:schemeClr val="lt1"/>
            </a:solidFill>
            <a:latin typeface="+mn-lt"/>
            <a:ea typeface="+mn-ea"/>
            <a:cs typeface="+mn-cs"/>
          </a:endParaRPr>
        </a:p>
      </xdr:txBody>
    </xdr:sp>
    <xdr:clientData/>
  </xdr:twoCellAnchor>
  <xdr:twoCellAnchor>
    <xdr:from>
      <xdr:col>21</xdr:col>
      <xdr:colOff>426681</xdr:colOff>
      <xdr:row>22</xdr:row>
      <xdr:rowOff>86590</xdr:rowOff>
    </xdr:from>
    <xdr:to>
      <xdr:col>25</xdr:col>
      <xdr:colOff>574408</xdr:colOff>
      <xdr:row>27</xdr:row>
      <xdr:rowOff>86590</xdr:rowOff>
    </xdr:to>
    <xdr:sp macro="" textlink="">
      <xdr:nvSpPr>
        <xdr:cNvPr id="32" name="Rounded Rectangle 31"/>
        <xdr:cNvSpPr/>
      </xdr:nvSpPr>
      <xdr:spPr>
        <a:xfrm>
          <a:off x="13155545" y="4277590"/>
          <a:ext cx="2572272" cy="9525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26</xdr:col>
      <xdr:colOff>294409</xdr:colOff>
      <xdr:row>20</xdr:row>
      <xdr:rowOff>44361</xdr:rowOff>
    </xdr:from>
    <xdr:to>
      <xdr:col>30</xdr:col>
      <xdr:colOff>155863</xdr:colOff>
      <xdr:row>30</xdr:row>
      <xdr:rowOff>47162</xdr:rowOff>
    </xdr:to>
    <xdr:sp macro="" textlink="">
      <xdr:nvSpPr>
        <xdr:cNvPr id="33" name="Diamond 32"/>
        <xdr:cNvSpPr/>
      </xdr:nvSpPr>
      <xdr:spPr>
        <a:xfrm>
          <a:off x="16053954" y="3854361"/>
          <a:ext cx="2286000"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30</xdr:col>
      <xdr:colOff>411301</xdr:colOff>
      <xdr:row>24</xdr:row>
      <xdr:rowOff>55286</xdr:rowOff>
    </xdr:from>
    <xdr:to>
      <xdr:col>31</xdr:col>
      <xdr:colOff>458926</xdr:colOff>
      <xdr:row>26</xdr:row>
      <xdr:rowOff>36236</xdr:rowOff>
    </xdr:to>
    <xdr:sp macro="" textlink="">
      <xdr:nvSpPr>
        <xdr:cNvPr id="34" name="Rounded Rectangle 33"/>
        <xdr:cNvSpPr/>
      </xdr:nvSpPr>
      <xdr:spPr>
        <a:xfrm>
          <a:off x="18595392" y="462728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25</xdr:col>
      <xdr:colOff>574408</xdr:colOff>
      <xdr:row>24</xdr:row>
      <xdr:rowOff>181840</xdr:rowOff>
    </xdr:from>
    <xdr:to>
      <xdr:col>26</xdr:col>
      <xdr:colOff>294409</xdr:colOff>
      <xdr:row>25</xdr:row>
      <xdr:rowOff>45762</xdr:rowOff>
    </xdr:to>
    <xdr:cxnSp macro="">
      <xdr:nvCxnSpPr>
        <xdr:cNvPr id="35" name="Straight Arrow Connector 34"/>
        <xdr:cNvCxnSpPr>
          <a:stCxn id="32" idx="3"/>
          <a:endCxn id="33" idx="1"/>
        </xdr:cNvCxnSpPr>
      </xdr:nvCxnSpPr>
      <xdr:spPr>
        <a:xfrm>
          <a:off x="15727817" y="4753840"/>
          <a:ext cx="326137" cy="5442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155863</xdr:colOff>
      <xdr:row>25</xdr:row>
      <xdr:rowOff>45761</xdr:rowOff>
    </xdr:from>
    <xdr:to>
      <xdr:col>30</xdr:col>
      <xdr:colOff>411301</xdr:colOff>
      <xdr:row>25</xdr:row>
      <xdr:rowOff>45762</xdr:rowOff>
    </xdr:to>
    <xdr:cxnSp macro="">
      <xdr:nvCxnSpPr>
        <xdr:cNvPr id="36" name="Straight Arrow Connector 35"/>
        <xdr:cNvCxnSpPr>
          <a:stCxn id="33" idx="3"/>
          <a:endCxn id="34" idx="1"/>
        </xdr:cNvCxnSpPr>
      </xdr:nvCxnSpPr>
      <xdr:spPr>
        <a:xfrm flipV="1">
          <a:off x="18339954" y="4808261"/>
          <a:ext cx="25543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458926</xdr:colOff>
      <xdr:row>24</xdr:row>
      <xdr:rowOff>188622</xdr:rowOff>
    </xdr:from>
    <xdr:to>
      <xdr:col>32</xdr:col>
      <xdr:colOff>346363</xdr:colOff>
      <xdr:row>25</xdr:row>
      <xdr:rowOff>45761</xdr:rowOff>
    </xdr:to>
    <xdr:cxnSp macro="">
      <xdr:nvCxnSpPr>
        <xdr:cNvPr id="37" name="Straight Arrow Connector 36"/>
        <xdr:cNvCxnSpPr>
          <a:stCxn id="34" idx="3"/>
          <a:endCxn id="39" idx="1"/>
        </xdr:cNvCxnSpPr>
      </xdr:nvCxnSpPr>
      <xdr:spPr>
        <a:xfrm flipV="1">
          <a:off x="19249153" y="4760622"/>
          <a:ext cx="493574" cy="4763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24</xdr:row>
      <xdr:rowOff>188622</xdr:rowOff>
    </xdr:from>
    <xdr:to>
      <xdr:col>40</xdr:col>
      <xdr:colOff>372376</xdr:colOff>
      <xdr:row>31</xdr:row>
      <xdr:rowOff>111419</xdr:rowOff>
    </xdr:to>
    <xdr:cxnSp macro="">
      <xdr:nvCxnSpPr>
        <xdr:cNvPr id="38" name="Straight Arrow Connector 37"/>
        <xdr:cNvCxnSpPr>
          <a:stCxn id="39" idx="3"/>
          <a:endCxn id="79" idx="1"/>
        </xdr:cNvCxnSpPr>
      </xdr:nvCxnSpPr>
      <xdr:spPr>
        <a:xfrm>
          <a:off x="22666436" y="4760622"/>
          <a:ext cx="1951395" cy="125629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17</xdr:row>
      <xdr:rowOff>69271</xdr:rowOff>
    </xdr:from>
    <xdr:to>
      <xdr:col>37</xdr:col>
      <xdr:colOff>239391</xdr:colOff>
      <xdr:row>32</xdr:row>
      <xdr:rowOff>117473</xdr:rowOff>
    </xdr:to>
    <xdr:sp macro="" textlink="">
      <xdr:nvSpPr>
        <xdr:cNvPr id="39" name="Rounded Rectangle 38"/>
        <xdr:cNvSpPr>
          <a:spLocks noChangeAspect="1"/>
        </xdr:cNvSpPr>
      </xdr:nvSpPr>
      <xdr:spPr>
        <a:xfrm>
          <a:off x="19742727" y="3307771"/>
          <a:ext cx="2923709" cy="290570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54</xdr:row>
      <xdr:rowOff>61178</xdr:rowOff>
    </xdr:from>
    <xdr:to>
      <xdr:col>42</xdr:col>
      <xdr:colOff>462396</xdr:colOff>
      <xdr:row>56</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467591</xdr:colOff>
      <xdr:row>23</xdr:row>
      <xdr:rowOff>77614</xdr:rowOff>
    </xdr:from>
    <xdr:to>
      <xdr:col>21</xdr:col>
      <xdr:colOff>20768</xdr:colOff>
      <xdr:row>26</xdr:row>
      <xdr:rowOff>69272</xdr:rowOff>
    </xdr:to>
    <xdr:sp macro="" textlink="">
      <xdr:nvSpPr>
        <xdr:cNvPr id="42" name="Rounded Rectangle 41"/>
        <xdr:cNvSpPr/>
      </xdr:nvSpPr>
      <xdr:spPr>
        <a:xfrm>
          <a:off x="10165773" y="4459114"/>
          <a:ext cx="2583859" cy="56315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21</xdr:col>
      <xdr:colOff>20768</xdr:colOff>
      <xdr:row>24</xdr:row>
      <xdr:rowOff>168693</xdr:rowOff>
    </xdr:from>
    <xdr:to>
      <xdr:col>21</xdr:col>
      <xdr:colOff>426681</xdr:colOff>
      <xdr:row>24</xdr:row>
      <xdr:rowOff>181840</xdr:rowOff>
    </xdr:to>
    <xdr:cxnSp macro="">
      <xdr:nvCxnSpPr>
        <xdr:cNvPr id="43" name="Straight Arrow Connector 42"/>
        <xdr:cNvCxnSpPr>
          <a:stCxn id="42" idx="3"/>
          <a:endCxn id="32" idx="1"/>
        </xdr:cNvCxnSpPr>
      </xdr:nvCxnSpPr>
      <xdr:spPr>
        <a:xfrm>
          <a:off x="12749632" y="4740693"/>
          <a:ext cx="405913" cy="1314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60</xdr:row>
      <xdr:rowOff>103913</xdr:rowOff>
    </xdr:from>
    <xdr:to>
      <xdr:col>45</xdr:col>
      <xdr:colOff>160285</xdr:colOff>
      <xdr:row>60</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8</xdr:row>
      <xdr:rowOff>13011</xdr:rowOff>
    </xdr:from>
    <xdr:to>
      <xdr:col>42</xdr:col>
      <xdr:colOff>428643</xdr:colOff>
      <xdr:row>27</xdr:row>
      <xdr:rowOff>153564</xdr:rowOff>
    </xdr:to>
    <xdr:cxnSp macro="">
      <xdr:nvCxnSpPr>
        <xdr:cNvPr id="47" name="Straight Arrow Connector 46"/>
        <xdr:cNvCxnSpPr>
          <a:stCxn id="28" idx="3"/>
          <a:endCxn id="79" idx="0"/>
        </xdr:cNvCxnSpPr>
      </xdr:nvCxnSpPr>
      <xdr:spPr>
        <a:xfrm>
          <a:off x="22323135" y="1537011"/>
          <a:ext cx="3563235" cy="376005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314469</xdr:colOff>
      <xdr:row>30</xdr:row>
      <xdr:rowOff>30860</xdr:rowOff>
    </xdr:from>
    <xdr:to>
      <xdr:col>26</xdr:col>
      <xdr:colOff>286566</xdr:colOff>
      <xdr:row>31</xdr:row>
      <xdr:rowOff>177619</xdr:rowOff>
    </xdr:to>
    <xdr:sp macro="" textlink="">
      <xdr:nvSpPr>
        <xdr:cNvPr id="48" name="Rounded Rectangle 47"/>
        <xdr:cNvSpPr/>
      </xdr:nvSpPr>
      <xdr:spPr>
        <a:xfrm>
          <a:off x="15467878" y="5745860"/>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26</xdr:col>
      <xdr:colOff>286566</xdr:colOff>
      <xdr:row>30</xdr:row>
      <xdr:rowOff>47162</xdr:rowOff>
    </xdr:from>
    <xdr:to>
      <xdr:col>28</xdr:col>
      <xdr:colOff>225136</xdr:colOff>
      <xdr:row>31</xdr:row>
      <xdr:rowOff>8990</xdr:rowOff>
    </xdr:to>
    <xdr:cxnSp macro="">
      <xdr:nvCxnSpPr>
        <xdr:cNvPr id="49" name="Straight Arrow Connector 48"/>
        <xdr:cNvCxnSpPr>
          <a:stCxn id="33" idx="2"/>
          <a:endCxn id="48" idx="3"/>
        </xdr:cNvCxnSpPr>
      </xdr:nvCxnSpPr>
      <xdr:spPr>
        <a:xfrm flipH="1">
          <a:off x="16046111" y="5762162"/>
          <a:ext cx="1150843" cy="152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155862</xdr:colOff>
      <xdr:row>31</xdr:row>
      <xdr:rowOff>8990</xdr:rowOff>
    </xdr:from>
    <xdr:to>
      <xdr:col>25</xdr:col>
      <xdr:colOff>314469</xdr:colOff>
      <xdr:row>39</xdr:row>
      <xdr:rowOff>113434</xdr:rowOff>
    </xdr:to>
    <xdr:cxnSp macro="">
      <xdr:nvCxnSpPr>
        <xdr:cNvPr id="51" name="Straight Arrow Connector 50"/>
        <xdr:cNvCxnSpPr>
          <a:stCxn id="48" idx="1"/>
          <a:endCxn id="57" idx="3"/>
        </xdr:cNvCxnSpPr>
      </xdr:nvCxnSpPr>
      <xdr:spPr>
        <a:xfrm flipH="1">
          <a:off x="5004953" y="5914490"/>
          <a:ext cx="10462925" cy="162844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47</xdr:row>
      <xdr:rowOff>18058</xdr:rowOff>
    </xdr:from>
    <xdr:to>
      <xdr:col>5</xdr:col>
      <xdr:colOff>186537</xdr:colOff>
      <xdr:row>56</xdr:row>
      <xdr:rowOff>66591</xdr:rowOff>
    </xdr:to>
    <xdr:sp macro="" textlink="">
      <xdr:nvSpPr>
        <xdr:cNvPr id="53" name="Rounded Rectangle 52"/>
        <xdr:cNvSpPr>
          <a:spLocks noChangeAspect="1"/>
        </xdr:cNvSpPr>
      </xdr:nvSpPr>
      <xdr:spPr>
        <a:xfrm>
          <a:off x="1455958" y="8971558"/>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518180</xdr:colOff>
      <xdr:row>42</xdr:row>
      <xdr:rowOff>103911</xdr:rowOff>
    </xdr:from>
    <xdr:to>
      <xdr:col>6</xdr:col>
      <xdr:colOff>350593</xdr:colOff>
      <xdr:row>47</xdr:row>
      <xdr:rowOff>18058</xdr:rowOff>
    </xdr:to>
    <xdr:cxnSp macro="">
      <xdr:nvCxnSpPr>
        <xdr:cNvPr id="54" name="Straight Arrow Connector 53"/>
        <xdr:cNvCxnSpPr>
          <a:stCxn id="57" idx="2"/>
          <a:endCxn id="53" idx="0"/>
        </xdr:cNvCxnSpPr>
      </xdr:nvCxnSpPr>
      <xdr:spPr>
        <a:xfrm flipH="1">
          <a:off x="2336589" y="8104911"/>
          <a:ext cx="1650822" cy="86664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72366</xdr:colOff>
      <xdr:row>42</xdr:row>
      <xdr:rowOff>155864</xdr:rowOff>
    </xdr:from>
    <xdr:to>
      <xdr:col>3</xdr:col>
      <xdr:colOff>518180</xdr:colOff>
      <xdr:row>47</xdr:row>
      <xdr:rowOff>18058</xdr:rowOff>
    </xdr:to>
    <xdr:cxnSp macro="">
      <xdr:nvCxnSpPr>
        <xdr:cNvPr id="55" name="Straight Arrow Connector 54"/>
        <xdr:cNvCxnSpPr>
          <a:stCxn id="56" idx="2"/>
          <a:endCxn id="53" idx="0"/>
        </xdr:cNvCxnSpPr>
      </xdr:nvCxnSpPr>
      <xdr:spPr>
        <a:xfrm>
          <a:off x="1284639" y="8156864"/>
          <a:ext cx="1051950" cy="8146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36</xdr:row>
      <xdr:rowOff>60614</xdr:rowOff>
    </xdr:from>
    <xdr:to>
      <xdr:col>3</xdr:col>
      <xdr:colOff>536864</xdr:colOff>
      <xdr:row>42</xdr:row>
      <xdr:rowOff>155864</xdr:rowOff>
    </xdr:to>
    <xdr:sp macro="" textlink="">
      <xdr:nvSpPr>
        <xdr:cNvPr id="56" name="Rounded Rectangle 55"/>
        <xdr:cNvSpPr/>
      </xdr:nvSpPr>
      <xdr:spPr>
        <a:xfrm>
          <a:off x="214004" y="6918614"/>
          <a:ext cx="2141269" cy="123825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4</xdr:col>
      <xdr:colOff>545323</xdr:colOff>
      <xdr:row>36</xdr:row>
      <xdr:rowOff>122957</xdr:rowOff>
    </xdr:from>
    <xdr:to>
      <xdr:col>8</xdr:col>
      <xdr:colOff>155862</xdr:colOff>
      <xdr:row>42</xdr:row>
      <xdr:rowOff>103911</xdr:rowOff>
    </xdr:to>
    <xdr:sp macro="" textlink="">
      <xdr:nvSpPr>
        <xdr:cNvPr id="57" name="Rounded Rectangle 56"/>
        <xdr:cNvSpPr/>
      </xdr:nvSpPr>
      <xdr:spPr>
        <a:xfrm>
          <a:off x="2969868" y="6980957"/>
          <a:ext cx="2035085" cy="11239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12</xdr:col>
      <xdr:colOff>86592</xdr:colOff>
      <xdr:row>42</xdr:row>
      <xdr:rowOff>34634</xdr:rowOff>
    </xdr:from>
    <xdr:to>
      <xdr:col>16</xdr:col>
      <xdr:colOff>69274</xdr:colOff>
      <xdr:row>50</xdr:row>
      <xdr:rowOff>155862</xdr:rowOff>
    </xdr:to>
    <xdr:sp macro="" textlink="">
      <xdr:nvSpPr>
        <xdr:cNvPr id="66" name="Rounded Rectangle 65"/>
        <xdr:cNvSpPr/>
      </xdr:nvSpPr>
      <xdr:spPr>
        <a:xfrm>
          <a:off x="7360228" y="8035634"/>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16</xdr:col>
      <xdr:colOff>69274</xdr:colOff>
      <xdr:row>45</xdr:row>
      <xdr:rowOff>178376</xdr:rowOff>
    </xdr:from>
    <xdr:to>
      <xdr:col>17</xdr:col>
      <xdr:colOff>273629</xdr:colOff>
      <xdr:row>46</xdr:row>
      <xdr:rowOff>95248</xdr:rowOff>
    </xdr:to>
    <xdr:cxnSp macro="">
      <xdr:nvCxnSpPr>
        <xdr:cNvPr id="67" name="Straight Arrow Connector 66"/>
        <xdr:cNvCxnSpPr>
          <a:stCxn id="66" idx="3"/>
          <a:endCxn id="528" idx="1"/>
        </xdr:cNvCxnSpPr>
      </xdr:nvCxnSpPr>
      <xdr:spPr>
        <a:xfrm flipV="1">
          <a:off x="9767456" y="8750876"/>
          <a:ext cx="810491" cy="1073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19</xdr:row>
      <xdr:rowOff>93518</xdr:rowOff>
    </xdr:from>
    <xdr:to>
      <xdr:col>2</xdr:col>
      <xdr:colOff>536863</xdr:colOff>
      <xdr:row>30</xdr:row>
      <xdr:rowOff>76200</xdr:rowOff>
    </xdr:to>
    <xdr:sp macro="" textlink="">
      <xdr:nvSpPr>
        <xdr:cNvPr id="70" name="Diamond 69"/>
        <xdr:cNvSpPr/>
      </xdr:nvSpPr>
      <xdr:spPr>
        <a:xfrm>
          <a:off x="51954" y="3713018"/>
          <a:ext cx="1697182"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571191</xdr:colOff>
      <xdr:row>32</xdr:row>
      <xdr:rowOff>52696</xdr:rowOff>
    </xdr:from>
    <xdr:to>
      <xdr:col>2</xdr:col>
      <xdr:colOff>12679</xdr:colOff>
      <xdr:row>34</xdr:row>
      <xdr:rowOff>33646</xdr:rowOff>
    </xdr:to>
    <xdr:sp macro="" textlink="">
      <xdr:nvSpPr>
        <xdr:cNvPr id="71" name="Rounded Rectangle 70"/>
        <xdr:cNvSpPr/>
      </xdr:nvSpPr>
      <xdr:spPr>
        <a:xfrm>
          <a:off x="571191" y="6148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291936</xdr:colOff>
      <xdr:row>30</xdr:row>
      <xdr:rowOff>76200</xdr:rowOff>
    </xdr:from>
    <xdr:to>
      <xdr:col>1</xdr:col>
      <xdr:colOff>294409</xdr:colOff>
      <xdr:row>32</xdr:row>
      <xdr:rowOff>52696</xdr:rowOff>
    </xdr:to>
    <xdr:cxnSp macro="">
      <xdr:nvCxnSpPr>
        <xdr:cNvPr id="72" name="Straight Arrow Connector 71"/>
        <xdr:cNvCxnSpPr>
          <a:stCxn id="70" idx="2"/>
          <a:endCxn id="71" idx="0"/>
        </xdr:cNvCxnSpPr>
      </xdr:nvCxnSpPr>
      <xdr:spPr>
        <a:xfrm flipH="1">
          <a:off x="898072" y="5791200"/>
          <a:ext cx="2473" cy="35749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291936</xdr:colOff>
      <xdr:row>34</xdr:row>
      <xdr:rowOff>33646</xdr:rowOff>
    </xdr:from>
    <xdr:to>
      <xdr:col>2</xdr:col>
      <xdr:colOff>72366</xdr:colOff>
      <xdr:row>36</xdr:row>
      <xdr:rowOff>60614</xdr:rowOff>
    </xdr:to>
    <xdr:cxnSp macro="">
      <xdr:nvCxnSpPr>
        <xdr:cNvPr id="73" name="Straight Arrow Connector 72"/>
        <xdr:cNvCxnSpPr>
          <a:stCxn id="71" idx="2"/>
          <a:endCxn id="56" idx="0"/>
        </xdr:cNvCxnSpPr>
      </xdr:nvCxnSpPr>
      <xdr:spPr>
        <a:xfrm>
          <a:off x="898072" y="6510646"/>
          <a:ext cx="386567" cy="4079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1301</xdr:rowOff>
    </xdr:from>
    <xdr:to>
      <xdr:col>9</xdr:col>
      <xdr:colOff>29444</xdr:colOff>
      <xdr:row>8</xdr:row>
      <xdr:rowOff>82911</xdr:rowOff>
    </xdr:to>
    <xdr:cxnSp macro="">
      <xdr:nvCxnSpPr>
        <xdr:cNvPr id="77" name="Straight Arrow Connector 76"/>
        <xdr:cNvCxnSpPr>
          <a:stCxn id="78" idx="3"/>
          <a:endCxn id="83" idx="1"/>
        </xdr:cNvCxnSpPr>
      </xdr:nvCxnSpPr>
      <xdr:spPr>
        <a:xfrm>
          <a:off x="4938210" y="1525301"/>
          <a:ext cx="546461" cy="8161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78" name="Rounded Rectangle 77"/>
        <xdr:cNvSpPr>
          <a:spLocks noChangeAspect="1"/>
        </xdr:cNvSpPr>
      </xdr:nvSpPr>
      <xdr:spPr>
        <a:xfrm>
          <a:off x="3039275" y="568342"/>
          <a:ext cx="1926644"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35</xdr:row>
      <xdr:rowOff>69273</xdr:rowOff>
    </xdr:from>
    <xdr:to>
      <xdr:col>42</xdr:col>
      <xdr:colOff>471055</xdr:colOff>
      <xdr:row>37</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397386</xdr:colOff>
      <xdr:row>19</xdr:row>
      <xdr:rowOff>110576</xdr:rowOff>
    </xdr:from>
    <xdr:to>
      <xdr:col>11</xdr:col>
      <xdr:colOff>517745</xdr:colOff>
      <xdr:row>29</xdr:row>
      <xdr:rowOff>119493</xdr:rowOff>
    </xdr:to>
    <xdr:sp macro="" textlink="">
      <xdr:nvSpPr>
        <xdr:cNvPr id="81" name="Rounded Rectangle 80"/>
        <xdr:cNvSpPr>
          <a:spLocks noChangeAspect="1"/>
        </xdr:cNvSpPr>
      </xdr:nvSpPr>
      <xdr:spPr>
        <a:xfrm>
          <a:off x="5246477" y="3730076"/>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11</xdr:col>
      <xdr:colOff>517745</xdr:colOff>
      <xdr:row>24</xdr:row>
      <xdr:rowOff>115035</xdr:rowOff>
    </xdr:from>
    <xdr:to>
      <xdr:col>12</xdr:col>
      <xdr:colOff>133354</xdr:colOff>
      <xdr:row>24</xdr:row>
      <xdr:rowOff>152399</xdr:rowOff>
    </xdr:to>
    <xdr:cxnSp macro="">
      <xdr:nvCxnSpPr>
        <xdr:cNvPr id="82" name="Straight Arrow Connector 81"/>
        <xdr:cNvCxnSpPr>
          <a:stCxn id="81" idx="3"/>
          <a:endCxn id="85" idx="1"/>
        </xdr:cNvCxnSpPr>
      </xdr:nvCxnSpPr>
      <xdr:spPr>
        <a:xfrm>
          <a:off x="7185245" y="4687035"/>
          <a:ext cx="221745" cy="3736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29444</xdr:colOff>
      <xdr:row>5</xdr:row>
      <xdr:rowOff>131186</xdr:rowOff>
    </xdr:from>
    <xdr:to>
      <xdr:col>13</xdr:col>
      <xdr:colOff>12125</xdr:colOff>
      <xdr:row>11</xdr:row>
      <xdr:rowOff>34636</xdr:rowOff>
    </xdr:to>
    <xdr:sp macro="" textlink="">
      <xdr:nvSpPr>
        <xdr:cNvPr id="83" name="Rounded Rectangle 82"/>
        <xdr:cNvSpPr/>
      </xdr:nvSpPr>
      <xdr:spPr>
        <a:xfrm>
          <a:off x="5484671" y="1083686"/>
          <a:ext cx="2407227" cy="104645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18</xdr:col>
      <xdr:colOff>488357</xdr:colOff>
      <xdr:row>7</xdr:row>
      <xdr:rowOff>178781</xdr:rowOff>
    </xdr:from>
    <xdr:to>
      <xdr:col>19</xdr:col>
      <xdr:colOff>277112</xdr:colOff>
      <xdr:row>8</xdr:row>
      <xdr:rowOff>59874</xdr:rowOff>
    </xdr:to>
    <xdr:cxnSp macro="">
      <xdr:nvCxnSpPr>
        <xdr:cNvPr id="84" name="Straight Arrow Connector 83"/>
        <xdr:cNvCxnSpPr>
          <a:stCxn id="18" idx="3"/>
          <a:endCxn id="9" idx="1"/>
        </xdr:cNvCxnSpPr>
      </xdr:nvCxnSpPr>
      <xdr:spPr>
        <a:xfrm flipV="1">
          <a:off x="11398812" y="1512281"/>
          <a:ext cx="394891" cy="71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133354</xdr:colOff>
      <xdr:row>21</xdr:row>
      <xdr:rowOff>114297</xdr:rowOff>
    </xdr:from>
    <xdr:to>
      <xdr:col>16</xdr:col>
      <xdr:colOff>116035</xdr:colOff>
      <xdr:row>28</xdr:row>
      <xdr:rowOff>0</xdr:rowOff>
    </xdr:to>
    <xdr:sp macro="" textlink="">
      <xdr:nvSpPr>
        <xdr:cNvPr id="85" name="Rounded Rectangle 84"/>
        <xdr:cNvSpPr/>
      </xdr:nvSpPr>
      <xdr:spPr>
        <a:xfrm>
          <a:off x="7406990" y="4114797"/>
          <a:ext cx="2407227" cy="121920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16</xdr:col>
      <xdr:colOff>116035</xdr:colOff>
      <xdr:row>24</xdr:row>
      <xdr:rowOff>152399</xdr:rowOff>
    </xdr:from>
    <xdr:to>
      <xdr:col>16</xdr:col>
      <xdr:colOff>467591</xdr:colOff>
      <xdr:row>24</xdr:row>
      <xdr:rowOff>168693</xdr:rowOff>
    </xdr:to>
    <xdr:cxnSp macro="">
      <xdr:nvCxnSpPr>
        <xdr:cNvPr id="86" name="Straight Arrow Connector 85"/>
        <xdr:cNvCxnSpPr>
          <a:stCxn id="85" idx="3"/>
          <a:endCxn id="42" idx="1"/>
        </xdr:cNvCxnSpPr>
      </xdr:nvCxnSpPr>
      <xdr:spPr>
        <a:xfrm>
          <a:off x="9814217" y="4724399"/>
          <a:ext cx="351556" cy="162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59</xdr:row>
      <xdr:rowOff>86590</xdr:rowOff>
    </xdr:from>
    <xdr:to>
      <xdr:col>6</xdr:col>
      <xdr:colOff>320752</xdr:colOff>
      <xdr:row>63</xdr:row>
      <xdr:rowOff>117761</xdr:rowOff>
    </xdr:to>
    <xdr:sp macro="" textlink="">
      <xdr:nvSpPr>
        <xdr:cNvPr id="87" name="Rounded Rectangle 86"/>
        <xdr:cNvSpPr/>
      </xdr:nvSpPr>
      <xdr:spPr>
        <a:xfrm>
          <a:off x="1061971" y="11326090"/>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518180</xdr:colOff>
      <xdr:row>56</xdr:row>
      <xdr:rowOff>66591</xdr:rowOff>
    </xdr:from>
    <xdr:to>
      <xdr:col>4</xdr:col>
      <xdr:colOff>85226</xdr:colOff>
      <xdr:row>59</xdr:row>
      <xdr:rowOff>86590</xdr:rowOff>
    </xdr:to>
    <xdr:cxnSp macro="">
      <xdr:nvCxnSpPr>
        <xdr:cNvPr id="88" name="Straight Arrow Connector 87"/>
        <xdr:cNvCxnSpPr>
          <a:stCxn id="53" idx="2"/>
          <a:endCxn id="87" idx="0"/>
        </xdr:cNvCxnSpPr>
      </xdr:nvCxnSpPr>
      <xdr:spPr>
        <a:xfrm>
          <a:off x="2336589" y="10734591"/>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46</xdr:row>
      <xdr:rowOff>95248</xdr:rowOff>
    </xdr:from>
    <xdr:to>
      <xdr:col>12</xdr:col>
      <xdr:colOff>86592</xdr:colOff>
      <xdr:row>61</xdr:row>
      <xdr:rowOff>102176</xdr:rowOff>
    </xdr:to>
    <xdr:cxnSp macro="">
      <xdr:nvCxnSpPr>
        <xdr:cNvPr id="89" name="Straight Arrow Connector 88"/>
        <xdr:cNvCxnSpPr>
          <a:stCxn id="87" idx="3"/>
          <a:endCxn id="66" idx="1"/>
        </xdr:cNvCxnSpPr>
      </xdr:nvCxnSpPr>
      <xdr:spPr>
        <a:xfrm flipV="1">
          <a:off x="3957570" y="8858248"/>
          <a:ext cx="3402658" cy="286442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1</xdr:row>
      <xdr:rowOff>121228</xdr:rowOff>
    </xdr:from>
    <xdr:to>
      <xdr:col>50</xdr:col>
      <xdr:colOff>259774</xdr:colOff>
      <xdr:row>63</xdr:row>
      <xdr:rowOff>103905</xdr:rowOff>
    </xdr:to>
    <xdr:grpSp>
      <xdr:nvGrpSpPr>
        <xdr:cNvPr id="575" name="GROUP_TINH_THOI_GIAN"/>
        <xdr:cNvGrpSpPr/>
      </xdr:nvGrpSpPr>
      <xdr:grpSpPr>
        <a:xfrm>
          <a:off x="3217219" y="311728"/>
          <a:ext cx="27349373" cy="11793677"/>
          <a:chOff x="3217219" y="311728"/>
          <a:chExt cx="27349373" cy="11793677"/>
        </a:xfrm>
      </xdr:grpSpPr>
      <xdr:sp macro="" textlink="">
        <xdr:nvSpPr>
          <xdr:cNvPr id="58" name="Rounded Rectangle 57"/>
          <xdr:cNvSpPr/>
        </xdr:nvSpPr>
        <xdr:spPr>
          <a:xfrm>
            <a:off x="10327345" y="10920844"/>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xdr:cNvCxnSpPr>
            <a:stCxn id="53" idx="3"/>
            <a:endCxn id="58" idx="1"/>
          </xdr:cNvCxnSpPr>
        </xdr:nvCxnSpPr>
        <xdr:spPr>
          <a:xfrm>
            <a:off x="3217219" y="9853075"/>
            <a:ext cx="7110126" cy="166005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xdr:cNvCxnSpPr>
            <a:stCxn id="433" idx="3"/>
            <a:endCxn id="46" idx="2"/>
          </xdr:cNvCxnSpPr>
        </xdr:nvCxnSpPr>
        <xdr:spPr>
          <a:xfrm flipV="1">
            <a:off x="19482955" y="4052455"/>
            <a:ext cx="5982164" cy="3098223"/>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xdr:cNvCxnSpPr>
            <a:stCxn id="419" idx="3"/>
            <a:endCxn id="17" idx="1"/>
          </xdr:cNvCxnSpPr>
        </xdr:nvCxnSpPr>
        <xdr:spPr>
          <a:xfrm flipV="1">
            <a:off x="16919864" y="1681905"/>
            <a:ext cx="7253783" cy="152196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xdr:cNvCxnSpPr>
            <a:stCxn id="28" idx="3"/>
            <a:endCxn id="17" idx="1"/>
          </xdr:cNvCxnSpPr>
        </xdr:nvCxnSpPr>
        <xdr:spPr>
          <a:xfrm>
            <a:off x="22323135" y="1537011"/>
            <a:ext cx="1850512" cy="14489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xdr:cNvCxnSpPr>
            <a:stCxn id="39" idx="3"/>
            <a:endCxn id="46" idx="1"/>
          </xdr:cNvCxnSpPr>
        </xdr:nvCxnSpPr>
        <xdr:spPr>
          <a:xfrm flipV="1">
            <a:off x="22666436" y="3316432"/>
            <a:ext cx="1507211" cy="144419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xdr:cNvCxnSpPr>
            <a:stCxn id="58" idx="3"/>
            <a:endCxn id="61" idx="2"/>
          </xdr:cNvCxnSpPr>
        </xdr:nvCxnSpPr>
        <xdr:spPr>
          <a:xfrm flipV="1">
            <a:off x="12910291" y="4035135"/>
            <a:ext cx="15999307" cy="7477990"/>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xdr:cNvGrpSpPr/>
        </xdr:nvGrpSpPr>
        <xdr:grpSpPr>
          <a:xfrm>
            <a:off x="23985682" y="311728"/>
            <a:ext cx="6580910" cy="3983181"/>
            <a:chOff x="24332045" y="173183"/>
            <a:chExt cx="6580910" cy="3983181"/>
          </a:xfrm>
        </xdr:grpSpPr>
        <xdr:sp macro="" textlink="">
          <xdr:nvSpPr>
            <xdr:cNvPr id="153" name="Rounded Rectangle 152"/>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37</xdr:row>
      <xdr:rowOff>86589</xdr:rowOff>
    </xdr:from>
    <xdr:to>
      <xdr:col>44</xdr:col>
      <xdr:colOff>543791</xdr:colOff>
      <xdr:row>44</xdr:row>
      <xdr:rowOff>162802</xdr:rowOff>
    </xdr:to>
    <xdr:sp macro="" textlink="">
      <xdr:nvSpPr>
        <xdr:cNvPr id="21" name="Rounded Rectangle 20"/>
        <xdr:cNvSpPr/>
      </xdr:nvSpPr>
      <xdr:spPr>
        <a:xfrm>
          <a:off x="24643773" y="7135089"/>
          <a:ext cx="2570018" cy="140971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37</xdr:row>
      <xdr:rowOff>103908</xdr:rowOff>
    </xdr:from>
    <xdr:to>
      <xdr:col>48</xdr:col>
      <xdr:colOff>345097</xdr:colOff>
      <xdr:row>44</xdr:row>
      <xdr:rowOff>110850</xdr:rowOff>
    </xdr:to>
    <xdr:sp macro="" textlink="">
      <xdr:nvSpPr>
        <xdr:cNvPr id="22" name="Rounded Rectangle 21"/>
        <xdr:cNvSpPr/>
      </xdr:nvSpPr>
      <xdr:spPr>
        <a:xfrm>
          <a:off x="27517324" y="7152408"/>
          <a:ext cx="1922318" cy="134044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46</xdr:row>
      <xdr:rowOff>132553</xdr:rowOff>
    </xdr:from>
    <xdr:to>
      <xdr:col>48</xdr:col>
      <xdr:colOff>311964</xdr:colOff>
      <xdr:row>54</xdr:row>
      <xdr:rowOff>59075</xdr:rowOff>
    </xdr:to>
    <xdr:sp macro="" textlink="">
      <xdr:nvSpPr>
        <xdr:cNvPr id="24" name="Rounded Rectangle 23"/>
        <xdr:cNvSpPr/>
      </xdr:nvSpPr>
      <xdr:spPr>
        <a:xfrm>
          <a:off x="27550458" y="8895553"/>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56</xdr:row>
      <xdr:rowOff>32413</xdr:rowOff>
    </xdr:from>
    <xdr:to>
      <xdr:col>44</xdr:col>
      <xdr:colOff>119784</xdr:colOff>
      <xdr:row>65</xdr:row>
      <xdr:rowOff>80946</xdr:rowOff>
    </xdr:to>
    <xdr:sp macro="" textlink="">
      <xdr:nvSpPr>
        <xdr:cNvPr id="29" name="Rounded Rectangle 28"/>
        <xdr:cNvSpPr>
          <a:spLocks noChangeAspect="1"/>
        </xdr:cNvSpPr>
      </xdr:nvSpPr>
      <xdr:spPr>
        <a:xfrm>
          <a:off x="25015825" y="10700413"/>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46</xdr:row>
      <xdr:rowOff>130451</xdr:rowOff>
    </xdr:from>
    <xdr:to>
      <xdr:col>44</xdr:col>
      <xdr:colOff>453736</xdr:colOff>
      <xdr:row>54</xdr:row>
      <xdr:rowOff>61178</xdr:rowOff>
    </xdr:to>
    <xdr:sp macro="" textlink="">
      <xdr:nvSpPr>
        <xdr:cNvPr id="40" name="Rounded Rectangle 39"/>
        <xdr:cNvSpPr/>
      </xdr:nvSpPr>
      <xdr:spPr>
        <a:xfrm>
          <a:off x="24716509" y="8893451"/>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56</xdr:row>
      <xdr:rowOff>155871</xdr:rowOff>
    </xdr:from>
    <xdr:to>
      <xdr:col>48</xdr:col>
      <xdr:colOff>381000</xdr:colOff>
      <xdr:row>64</xdr:row>
      <xdr:rowOff>51955</xdr:rowOff>
    </xdr:to>
    <xdr:sp macro="" textlink="">
      <xdr:nvSpPr>
        <xdr:cNvPr id="44" name="Rounded Rectangle 43"/>
        <xdr:cNvSpPr/>
      </xdr:nvSpPr>
      <xdr:spPr>
        <a:xfrm>
          <a:off x="27436421" y="10823871"/>
          <a:ext cx="2039124" cy="142008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27</xdr:row>
      <xdr:rowOff>153564</xdr:rowOff>
    </xdr:from>
    <xdr:to>
      <xdr:col>44</xdr:col>
      <xdr:colOff>484909</xdr:colOff>
      <xdr:row>35</xdr:row>
      <xdr:rowOff>69273</xdr:rowOff>
    </xdr:to>
    <xdr:sp macro="" textlink="">
      <xdr:nvSpPr>
        <xdr:cNvPr id="79" name="Rounded Rectangle 78"/>
        <xdr:cNvSpPr/>
      </xdr:nvSpPr>
      <xdr:spPr>
        <a:xfrm>
          <a:off x="24617831" y="5297064"/>
          <a:ext cx="2537078" cy="14397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19</xdr:row>
      <xdr:rowOff>55417</xdr:rowOff>
    </xdr:from>
    <xdr:to>
      <xdr:col>6</xdr:col>
      <xdr:colOff>494455</xdr:colOff>
      <xdr:row>30</xdr:row>
      <xdr:rowOff>38099</xdr:rowOff>
    </xdr:to>
    <xdr:sp macro="" textlink="">
      <xdr:nvSpPr>
        <xdr:cNvPr id="268" name="Diamond 267"/>
        <xdr:cNvSpPr/>
      </xdr:nvSpPr>
      <xdr:spPr>
        <a:xfrm>
          <a:off x="1939637" y="3674917"/>
          <a:ext cx="219163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7</xdr:col>
      <xdr:colOff>126415</xdr:colOff>
      <xdr:row>23</xdr:row>
      <xdr:rowOff>128589</xdr:rowOff>
    </xdr:from>
    <xdr:to>
      <xdr:col>8</xdr:col>
      <xdr:colOff>161052</xdr:colOff>
      <xdr:row>25</xdr:row>
      <xdr:rowOff>109539</xdr:rowOff>
    </xdr:to>
    <xdr:sp macro="" textlink="">
      <xdr:nvSpPr>
        <xdr:cNvPr id="269" name="Rounded Rectangle 268"/>
        <xdr:cNvSpPr/>
      </xdr:nvSpPr>
      <xdr:spPr>
        <a:xfrm>
          <a:off x="4369370" y="4510089"/>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24</xdr:row>
      <xdr:rowOff>119064</xdr:rowOff>
    </xdr:from>
    <xdr:to>
      <xdr:col>7</xdr:col>
      <xdr:colOff>126415</xdr:colOff>
      <xdr:row>24</xdr:row>
      <xdr:rowOff>142008</xdr:rowOff>
    </xdr:to>
    <xdr:cxnSp macro="">
      <xdr:nvCxnSpPr>
        <xdr:cNvPr id="270" name="Straight Arrow Connector 269"/>
        <xdr:cNvCxnSpPr>
          <a:stCxn id="268" idx="3"/>
          <a:endCxn id="269" idx="1"/>
        </xdr:cNvCxnSpPr>
      </xdr:nvCxnSpPr>
      <xdr:spPr>
        <a:xfrm flipV="1">
          <a:off x="4131273" y="4691064"/>
          <a:ext cx="238097" cy="2294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161052</xdr:colOff>
      <xdr:row>24</xdr:row>
      <xdr:rowOff>115035</xdr:rowOff>
    </xdr:from>
    <xdr:to>
      <xdr:col>8</xdr:col>
      <xdr:colOff>397386</xdr:colOff>
      <xdr:row>24</xdr:row>
      <xdr:rowOff>119064</xdr:rowOff>
    </xdr:to>
    <xdr:cxnSp macro="">
      <xdr:nvCxnSpPr>
        <xdr:cNvPr id="271" name="Straight Arrow Connector 270"/>
        <xdr:cNvCxnSpPr>
          <a:stCxn id="269" idx="3"/>
          <a:endCxn id="81" idx="1"/>
        </xdr:cNvCxnSpPr>
      </xdr:nvCxnSpPr>
      <xdr:spPr>
        <a:xfrm flipV="1">
          <a:off x="5010143" y="4687035"/>
          <a:ext cx="236334" cy="40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367569</xdr:colOff>
      <xdr:row>15</xdr:row>
      <xdr:rowOff>42536</xdr:rowOff>
    </xdr:from>
    <xdr:to>
      <xdr:col>5</xdr:col>
      <xdr:colOff>4773</xdr:colOff>
      <xdr:row>19</xdr:row>
      <xdr:rowOff>55417</xdr:rowOff>
    </xdr:to>
    <xdr:cxnSp macro="">
      <xdr:nvCxnSpPr>
        <xdr:cNvPr id="277" name="Straight Arrow Connector 276"/>
        <xdr:cNvCxnSpPr>
          <a:stCxn id="12" idx="2"/>
          <a:endCxn id="268" idx="0"/>
        </xdr:cNvCxnSpPr>
      </xdr:nvCxnSpPr>
      <xdr:spPr>
        <a:xfrm>
          <a:off x="2185978" y="2900036"/>
          <a:ext cx="849477" cy="77488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329045</xdr:colOff>
      <xdr:row>13</xdr:row>
      <xdr:rowOff>103910</xdr:rowOff>
    </xdr:from>
    <xdr:to>
      <xdr:col>27</xdr:col>
      <xdr:colOff>554182</xdr:colOff>
      <xdr:row>20</xdr:row>
      <xdr:rowOff>17319</xdr:rowOff>
    </xdr:to>
    <xdr:sp macro="" textlink="">
      <xdr:nvSpPr>
        <xdr:cNvPr id="419" name="Rounded Rectangle 418"/>
        <xdr:cNvSpPr/>
      </xdr:nvSpPr>
      <xdr:spPr>
        <a:xfrm>
          <a:off x="13664045" y="2580410"/>
          <a:ext cx="3255819" cy="1246909"/>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xdr:col>
      <xdr:colOff>367569</xdr:colOff>
      <xdr:row>15</xdr:row>
      <xdr:rowOff>42536</xdr:rowOff>
    </xdr:from>
    <xdr:to>
      <xdr:col>22</xdr:col>
      <xdr:colOff>329045</xdr:colOff>
      <xdr:row>16</xdr:row>
      <xdr:rowOff>155865</xdr:rowOff>
    </xdr:to>
    <xdr:cxnSp macro="">
      <xdr:nvCxnSpPr>
        <xdr:cNvPr id="420" name="Straight Arrow Connector 419"/>
        <xdr:cNvCxnSpPr>
          <a:stCxn id="12" idx="2"/>
          <a:endCxn id="419" idx="1"/>
        </xdr:cNvCxnSpPr>
      </xdr:nvCxnSpPr>
      <xdr:spPr>
        <a:xfrm>
          <a:off x="2185978" y="2900036"/>
          <a:ext cx="11478067" cy="30382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83129</xdr:colOff>
      <xdr:row>33</xdr:row>
      <xdr:rowOff>117765</xdr:rowOff>
    </xdr:from>
    <xdr:to>
      <xdr:col>32</xdr:col>
      <xdr:colOff>86591</xdr:colOff>
      <xdr:row>41</xdr:row>
      <xdr:rowOff>86591</xdr:rowOff>
    </xdr:to>
    <xdr:sp macro="" textlink="">
      <xdr:nvSpPr>
        <xdr:cNvPr id="433" name="Rounded Rectangle 432"/>
        <xdr:cNvSpPr/>
      </xdr:nvSpPr>
      <xdr:spPr>
        <a:xfrm>
          <a:off x="17054947" y="6404265"/>
          <a:ext cx="2428008" cy="1492826"/>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25</xdr:col>
      <xdr:colOff>603586</xdr:colOff>
      <xdr:row>31</xdr:row>
      <xdr:rowOff>177619</xdr:rowOff>
    </xdr:from>
    <xdr:to>
      <xdr:col>28</xdr:col>
      <xdr:colOff>83129</xdr:colOff>
      <xdr:row>37</xdr:row>
      <xdr:rowOff>102178</xdr:rowOff>
    </xdr:to>
    <xdr:cxnSp macro="">
      <xdr:nvCxnSpPr>
        <xdr:cNvPr id="434" name="Straight Arrow Connector 433"/>
        <xdr:cNvCxnSpPr>
          <a:stCxn id="48" idx="2"/>
          <a:endCxn id="433" idx="1"/>
        </xdr:cNvCxnSpPr>
      </xdr:nvCxnSpPr>
      <xdr:spPr>
        <a:xfrm>
          <a:off x="15756995" y="6083119"/>
          <a:ext cx="1297952" cy="106755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84860</xdr:colOff>
      <xdr:row>24</xdr:row>
      <xdr:rowOff>188622</xdr:rowOff>
    </xdr:from>
    <xdr:to>
      <xdr:col>32</xdr:col>
      <xdr:colOff>346363</xdr:colOff>
      <xdr:row>33</xdr:row>
      <xdr:rowOff>117765</xdr:rowOff>
    </xdr:to>
    <xdr:cxnSp macro="">
      <xdr:nvCxnSpPr>
        <xdr:cNvPr id="435" name="Straight Arrow Connector 434"/>
        <xdr:cNvCxnSpPr>
          <a:stCxn id="433" idx="0"/>
          <a:endCxn id="39" idx="1"/>
        </xdr:cNvCxnSpPr>
      </xdr:nvCxnSpPr>
      <xdr:spPr>
        <a:xfrm flipV="1">
          <a:off x="18268951" y="4760622"/>
          <a:ext cx="1473776" cy="1643643"/>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273629</xdr:colOff>
      <xdr:row>41</xdr:row>
      <xdr:rowOff>117762</xdr:rowOff>
    </xdr:from>
    <xdr:to>
      <xdr:col>21</xdr:col>
      <xdr:colOff>256311</xdr:colOff>
      <xdr:row>50</xdr:row>
      <xdr:rowOff>48490</xdr:rowOff>
    </xdr:to>
    <xdr:sp macro="" textlink="">
      <xdr:nvSpPr>
        <xdr:cNvPr id="528" name="Rounded Rectangle 527"/>
        <xdr:cNvSpPr/>
      </xdr:nvSpPr>
      <xdr:spPr>
        <a:xfrm>
          <a:off x="10577947" y="7928262"/>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21</xdr:col>
      <xdr:colOff>256311</xdr:colOff>
      <xdr:row>37</xdr:row>
      <xdr:rowOff>102178</xdr:rowOff>
    </xdr:from>
    <xdr:to>
      <xdr:col>28</xdr:col>
      <xdr:colOff>83129</xdr:colOff>
      <xdr:row>45</xdr:row>
      <xdr:rowOff>178376</xdr:rowOff>
    </xdr:to>
    <xdr:cxnSp macro="">
      <xdr:nvCxnSpPr>
        <xdr:cNvPr id="538" name="Straight Arrow Connector 537"/>
        <xdr:cNvCxnSpPr>
          <a:stCxn id="528" idx="3"/>
          <a:endCxn id="433" idx="1"/>
        </xdr:cNvCxnSpPr>
      </xdr:nvCxnSpPr>
      <xdr:spPr>
        <a:xfrm flipV="1">
          <a:off x="12985175" y="7150678"/>
          <a:ext cx="4069772" cy="16001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398318</xdr:colOff>
      <xdr:row>1</xdr:row>
      <xdr:rowOff>51955</xdr:rowOff>
    </xdr:from>
    <xdr:to>
      <xdr:col>53</xdr:col>
      <xdr:colOff>303069</xdr:colOff>
      <xdr:row>7</xdr:row>
      <xdr:rowOff>155864</xdr:rowOff>
    </xdr:to>
    <xdr:sp macro="[0]!HideSpecificShape" textlink="">
      <xdr:nvSpPr>
        <xdr:cNvPr id="576" name="Rounded Rectangle 575"/>
        <xdr:cNvSpPr/>
      </xdr:nvSpPr>
      <xdr:spPr>
        <a:xfrm>
          <a:off x="30705136" y="242455"/>
          <a:ext cx="1723160" cy="1246909"/>
        </a:xfrm>
        <a:prstGeom prst="roundRect">
          <a:avLst/>
        </a:prstGeom>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a:t>
          </a:r>
          <a:br>
            <a:rPr lang="en-US" sz="2000" baseline="0"/>
          </a:br>
          <a:r>
            <a:rPr lang="en-US" sz="2000" baseline="0"/>
            <a:t>GROUP TÍNH THỜI GIAN</a:t>
          </a:r>
          <a:endParaRPr lang="en-US" sz="2000"/>
        </a:p>
      </xdr:txBody>
    </xdr:sp>
    <xdr:clientData/>
  </xdr:twoCellAnchor>
  <xdr:twoCellAnchor>
    <xdr:from>
      <xdr:col>50</xdr:col>
      <xdr:colOff>398318</xdr:colOff>
      <xdr:row>9</xdr:row>
      <xdr:rowOff>51955</xdr:rowOff>
    </xdr:from>
    <xdr:to>
      <xdr:col>53</xdr:col>
      <xdr:colOff>303069</xdr:colOff>
      <xdr:row>15</xdr:row>
      <xdr:rowOff>155864</xdr:rowOff>
    </xdr:to>
    <xdr:sp macro="[0]!UnHideSpecificShape" textlink="">
      <xdr:nvSpPr>
        <xdr:cNvPr id="577" name="Rounded Rectangle 576"/>
        <xdr:cNvSpPr/>
      </xdr:nvSpPr>
      <xdr:spPr>
        <a:xfrm>
          <a:off x="30705136" y="1766455"/>
          <a:ext cx="1723160" cy="1246909"/>
        </a:xfrm>
        <a:prstGeom prst="roundRect">
          <a:avLst/>
        </a:prstGeom>
        <a:solidFill>
          <a:schemeClr val="accent6">
            <a:lumMod val="40000"/>
            <a:lumOff val="60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ysClr val="windowText" lastClr="000000"/>
              </a:solidFill>
            </a:rPr>
            <a:t>HIỆN</a:t>
          </a:r>
          <a:br>
            <a:rPr lang="en-US" sz="2000">
              <a:solidFill>
                <a:sysClr val="windowText" lastClr="000000"/>
              </a:solidFill>
            </a:rPr>
          </a:br>
          <a:r>
            <a:rPr lang="en-US" sz="2000" baseline="0">
              <a:solidFill>
                <a:sysClr val="windowText" lastClr="000000"/>
              </a:solidFill>
            </a:rPr>
            <a:t>GROUP TÍNH THỜI GIAN</a:t>
          </a:r>
          <a:endParaRPr lang="en-US" sz="20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showGridLines="0" tabSelected="1" zoomScale="55" zoomScaleNormal="55" zoomScaleSheetLayoutView="40" workbookViewId="0">
      <selection activeCell="AR11" sqref="AR1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12</v>
      </c>
      <c r="C4" s="14">
        <f t="shared" ref="C4:C28" ca="1" si="1">IF(B4&lt;0,0,RANDBETWEEN($C$3-2,$C$3+2))</f>
        <v>7</v>
      </c>
      <c r="D4" s="13">
        <f t="shared" ref="D4:D28" ca="1" si="2">+IF(B4&lt;0,0,B4*C4)</f>
        <v>84</v>
      </c>
      <c r="E4" s="13">
        <f t="shared" ref="E4:E28" ca="1" si="3">($D$3+SUMIFS($D$4:$D$28,$B$4:$B$28,"&gt;0"))/
($B$3+SUMIFS($B$4:$B$28,$B$4:$B$28,"&gt;0"))</f>
        <v>4.83265306122449</v>
      </c>
      <c r="F4" s="13">
        <f t="shared" ref="F4:F28" ca="1" si="4">IF(B4&lt;0,B4*E4,0)</f>
        <v>0</v>
      </c>
      <c r="H4" s="16" t="s">
        <v>72</v>
      </c>
      <c r="I4" s="21">
        <f t="shared" ref="I4:I28" ca="1" si="5">+B4</f>
        <v>12</v>
      </c>
      <c r="J4" s="13">
        <f t="shared" ref="J4:J28" ca="1" si="6">+C4</f>
        <v>7</v>
      </c>
      <c r="K4" s="13">
        <f t="shared" ref="K4:K28" ca="1" si="7">+IF(I4&lt;0,0,I4*J4)</f>
        <v>84</v>
      </c>
      <c r="L4" s="13">
        <f ca="1">($K$3+SUMIFS($K$4:K4,$I$4:I4,"&gt;0"))/
($I$3+SUMIFS($I$4:I4,$I$4:I4,"&gt;0"))</f>
        <v>5.0237154150197627</v>
      </c>
      <c r="M4" s="13">
        <f t="shared" ref="M4:M28" ca="1" si="8">IF(I4&lt;0,I4*L4,0)</f>
        <v>0</v>
      </c>
    </row>
    <row r="5" spans="1:13" x14ac:dyDescent="0.3">
      <c r="B5" s="17">
        <f t="shared" ca="1" si="0"/>
        <v>17</v>
      </c>
      <c r="C5" s="20">
        <f t="shared" ca="1" si="1"/>
        <v>4</v>
      </c>
      <c r="D5" s="18">
        <f t="shared" ca="1" si="2"/>
        <v>68</v>
      </c>
      <c r="E5" s="18">
        <f t="shared" ca="1" si="3"/>
        <v>4.83265306122449</v>
      </c>
      <c r="F5" s="18">
        <f t="shared" ca="1" si="4"/>
        <v>0</v>
      </c>
      <c r="I5" s="19">
        <f t="shared" ca="1" si="5"/>
        <v>17</v>
      </c>
      <c r="J5" s="18">
        <f t="shared" ca="1" si="6"/>
        <v>4</v>
      </c>
      <c r="K5" s="18">
        <f t="shared" ca="1" si="7"/>
        <v>68</v>
      </c>
      <c r="L5" s="18">
        <f ca="1">($K$3+SUMIFS($K$4:K5,$I$4:I5,"&gt;0"))/
($I$3+SUMIFS($I$4:I5,$I$4:I5,"&gt;0"))</f>
        <v>5.0068027210884356</v>
      </c>
      <c r="M5" s="18">
        <f t="shared" ca="1" si="8"/>
        <v>0</v>
      </c>
    </row>
    <row r="6" spans="1:13" x14ac:dyDescent="0.3">
      <c r="B6" s="17">
        <f t="shared" ca="1" si="0"/>
        <v>-113</v>
      </c>
      <c r="C6" s="20">
        <f t="shared" ca="1" si="1"/>
        <v>0</v>
      </c>
      <c r="D6" s="18">
        <f t="shared" ca="1" si="2"/>
        <v>0</v>
      </c>
      <c r="E6" s="18">
        <f t="shared" ca="1" si="3"/>
        <v>4.83265306122449</v>
      </c>
      <c r="F6" s="18">
        <f t="shared" ca="1" si="4"/>
        <v>-546.08979591836737</v>
      </c>
      <c r="I6" s="19">
        <f t="shared" ca="1" si="5"/>
        <v>-113</v>
      </c>
      <c r="J6" s="18">
        <f t="shared" ca="1" si="6"/>
        <v>0</v>
      </c>
      <c r="K6" s="18">
        <f t="shared" ca="1" si="7"/>
        <v>0</v>
      </c>
      <c r="L6" s="18">
        <f ca="1">($K$3+SUMIFS($K$4:K6,$I$4:I6,"&gt;0"))/
($I$3+SUMIFS($I$4:I6,$I$4:I6,"&gt;0"))</f>
        <v>5.0068027210884356</v>
      </c>
      <c r="M6" s="18">
        <f t="shared" ca="1" si="8"/>
        <v>-565.76870748299325</v>
      </c>
    </row>
    <row r="7" spans="1:13" x14ac:dyDescent="0.3">
      <c r="B7" s="17">
        <f t="shared" ca="1" si="0"/>
        <v>-189</v>
      </c>
      <c r="C7" s="20">
        <f t="shared" ca="1" si="1"/>
        <v>0</v>
      </c>
      <c r="D7" s="18">
        <f t="shared" ca="1" si="2"/>
        <v>0</v>
      </c>
      <c r="E7" s="18">
        <f t="shared" ca="1" si="3"/>
        <v>4.83265306122449</v>
      </c>
      <c r="F7" s="18">
        <f t="shared" ca="1" si="4"/>
        <v>-913.37142857142862</v>
      </c>
      <c r="I7" s="19">
        <f t="shared" ca="1" si="5"/>
        <v>-189</v>
      </c>
      <c r="J7" s="18">
        <f t="shared" ca="1" si="6"/>
        <v>0</v>
      </c>
      <c r="K7" s="18">
        <f t="shared" ca="1" si="7"/>
        <v>0</v>
      </c>
      <c r="L7" s="18">
        <f ca="1">($K$3+SUMIFS($K$4:K7,$I$4:I7,"&gt;0"))/
($I$3+SUMIFS($I$4:I7,$I$4:I7,"&gt;0"))</f>
        <v>5.0068027210884356</v>
      </c>
      <c r="M7" s="18">
        <f t="shared" ca="1" si="8"/>
        <v>-946.28571428571433</v>
      </c>
    </row>
    <row r="8" spans="1:13" x14ac:dyDescent="0.3">
      <c r="B8" s="17">
        <f t="shared" ca="1" si="0"/>
        <v>65</v>
      </c>
      <c r="C8" s="20">
        <f t="shared" ca="1" si="1"/>
        <v>3</v>
      </c>
      <c r="D8" s="18">
        <f t="shared" ca="1" si="2"/>
        <v>195</v>
      </c>
      <c r="E8" s="18">
        <f t="shared" ca="1" si="3"/>
        <v>4.83265306122449</v>
      </c>
      <c r="F8" s="18">
        <f t="shared" ca="1" si="4"/>
        <v>0</v>
      </c>
      <c r="I8" s="19">
        <f t="shared" ca="1" si="5"/>
        <v>65</v>
      </c>
      <c r="J8" s="18">
        <f t="shared" ca="1" si="6"/>
        <v>3</v>
      </c>
      <c r="K8" s="18">
        <f t="shared" ca="1" si="7"/>
        <v>195</v>
      </c>
      <c r="L8" s="18">
        <f ca="1">($K$3+SUMIFS($K$4:K8,$I$4:I8,"&gt;0"))/
($I$3+SUMIFS($I$4:I8,$I$4:I8,"&gt;0"))</f>
        <v>4.8875685557586834</v>
      </c>
      <c r="M8" s="18">
        <f t="shared" ca="1" si="8"/>
        <v>0</v>
      </c>
    </row>
    <row r="9" spans="1:13" x14ac:dyDescent="0.3">
      <c r="B9" s="17">
        <f t="shared" ca="1" si="0"/>
        <v>-69</v>
      </c>
      <c r="C9" s="20">
        <f t="shared" ca="1" si="1"/>
        <v>0</v>
      </c>
      <c r="D9" s="18">
        <f t="shared" ca="1" si="2"/>
        <v>0</v>
      </c>
      <c r="E9" s="18">
        <f t="shared" ca="1" si="3"/>
        <v>4.83265306122449</v>
      </c>
      <c r="F9" s="18">
        <f t="shared" ca="1" si="4"/>
        <v>-333.45306122448983</v>
      </c>
      <c r="I9" s="19">
        <f t="shared" ca="1" si="5"/>
        <v>-69</v>
      </c>
      <c r="J9" s="18">
        <f t="shared" ca="1" si="6"/>
        <v>0</v>
      </c>
      <c r="K9" s="18">
        <f t="shared" ca="1" si="7"/>
        <v>0</v>
      </c>
      <c r="L9" s="18">
        <f ca="1">($K$3+SUMIFS($K$4:K9,$I$4:I9,"&gt;0"))/
($I$3+SUMIFS($I$4:I9,$I$4:I9,"&gt;0"))</f>
        <v>4.8875685557586834</v>
      </c>
      <c r="M9" s="18">
        <f t="shared" ca="1" si="8"/>
        <v>-337.24223034734916</v>
      </c>
    </row>
    <row r="10" spans="1:13" x14ac:dyDescent="0.3">
      <c r="B10" s="17">
        <f t="shared" ca="1" si="0"/>
        <v>37</v>
      </c>
      <c r="C10" s="20">
        <f t="shared" ca="1" si="1"/>
        <v>5</v>
      </c>
      <c r="D10" s="18">
        <f t="shared" ca="1" si="2"/>
        <v>185</v>
      </c>
      <c r="E10" s="18">
        <f t="shared" ca="1" si="3"/>
        <v>4.83265306122449</v>
      </c>
      <c r="F10" s="18">
        <f t="shared" ca="1" si="4"/>
        <v>0</v>
      </c>
      <c r="I10" s="19">
        <f t="shared" ca="1" si="5"/>
        <v>37</v>
      </c>
      <c r="J10" s="18">
        <f t="shared" ca="1" si="6"/>
        <v>5</v>
      </c>
      <c r="K10" s="18">
        <f t="shared" ca="1" si="7"/>
        <v>185</v>
      </c>
      <c r="L10" s="18">
        <f ca="1">($K$3+SUMIFS($K$4:K10,$I$4:I10,"&gt;0"))/
($I$3+SUMIFS($I$4:I10,$I$4:I10,"&gt;0"))</f>
        <v>4.8912466843501328</v>
      </c>
      <c r="M10" s="18">
        <f t="shared" ca="1" si="8"/>
        <v>0</v>
      </c>
    </row>
    <row r="11" spans="1:13" x14ac:dyDescent="0.3">
      <c r="B11" s="17">
        <f t="shared" ca="1" si="0"/>
        <v>-45</v>
      </c>
      <c r="C11" s="20">
        <f t="shared" ca="1" si="1"/>
        <v>0</v>
      </c>
      <c r="D11" s="18">
        <f t="shared" ca="1" si="2"/>
        <v>0</v>
      </c>
      <c r="E11" s="18">
        <f t="shared" ca="1" si="3"/>
        <v>4.83265306122449</v>
      </c>
      <c r="F11" s="18">
        <f t="shared" ca="1" si="4"/>
        <v>-217.46938775510205</v>
      </c>
      <c r="I11" s="19">
        <f t="shared" ca="1" si="5"/>
        <v>-45</v>
      </c>
      <c r="J11" s="18">
        <f t="shared" ca="1" si="6"/>
        <v>0</v>
      </c>
      <c r="K11" s="18">
        <f t="shared" ca="1" si="7"/>
        <v>0</v>
      </c>
      <c r="L11" s="18">
        <f ca="1">($K$3+SUMIFS($K$4:K11,$I$4:I11,"&gt;0"))/
($I$3+SUMIFS($I$4:I11,$I$4:I11,"&gt;0"))</f>
        <v>4.8912466843501328</v>
      </c>
      <c r="M11" s="18">
        <f t="shared" ca="1" si="8"/>
        <v>-220.10610079575596</v>
      </c>
    </row>
    <row r="12" spans="1:13" x14ac:dyDescent="0.3">
      <c r="B12" s="17">
        <f t="shared" ca="1" si="0"/>
        <v>-174</v>
      </c>
      <c r="C12" s="20">
        <f t="shared" ca="1" si="1"/>
        <v>0</v>
      </c>
      <c r="D12" s="18">
        <f t="shared" ca="1" si="2"/>
        <v>0</v>
      </c>
      <c r="E12" s="18">
        <f t="shared" ca="1" si="3"/>
        <v>4.83265306122449</v>
      </c>
      <c r="F12" s="18">
        <f t="shared" ca="1" si="4"/>
        <v>-840.88163265306127</v>
      </c>
      <c r="I12" s="19">
        <f t="shared" ca="1" si="5"/>
        <v>-174</v>
      </c>
      <c r="J12" s="18">
        <f t="shared" ca="1" si="6"/>
        <v>0</v>
      </c>
      <c r="K12" s="18">
        <f t="shared" ca="1" si="7"/>
        <v>0</v>
      </c>
      <c r="L12" s="18">
        <f ca="1">($K$3+SUMIFS($K$4:K12,$I$4:I12,"&gt;0"))/
($I$3+SUMIFS($I$4:I12,$I$4:I12,"&gt;0"))</f>
        <v>4.8912466843501328</v>
      </c>
      <c r="M12" s="18">
        <f t="shared" ca="1" si="8"/>
        <v>-851.07692307692309</v>
      </c>
    </row>
    <row r="13" spans="1:13" x14ac:dyDescent="0.3">
      <c r="B13" s="17">
        <f t="shared" ca="1" si="0"/>
        <v>-30</v>
      </c>
      <c r="C13" s="20">
        <f t="shared" ca="1" si="1"/>
        <v>0</v>
      </c>
      <c r="D13" s="18">
        <f t="shared" ca="1" si="2"/>
        <v>0</v>
      </c>
      <c r="E13" s="18">
        <f t="shared" ca="1" si="3"/>
        <v>4.83265306122449</v>
      </c>
      <c r="F13" s="18">
        <f t="shared" ca="1" si="4"/>
        <v>-144.9795918367347</v>
      </c>
      <c r="I13" s="19">
        <f t="shared" ca="1" si="5"/>
        <v>-30</v>
      </c>
      <c r="J13" s="18">
        <f t="shared" ca="1" si="6"/>
        <v>0</v>
      </c>
      <c r="K13" s="18">
        <f t="shared" ca="1" si="7"/>
        <v>0</v>
      </c>
      <c r="L13" s="18">
        <f ca="1">($K$3+SUMIFS($K$4:K13,$I$4:I13,"&gt;0"))/
($I$3+SUMIFS($I$4:I13,$I$4:I13,"&gt;0"))</f>
        <v>4.8912466843501328</v>
      </c>
      <c r="M13" s="18">
        <f t="shared" ca="1" si="8"/>
        <v>-146.73740053050398</v>
      </c>
    </row>
    <row r="14" spans="1:13" x14ac:dyDescent="0.3">
      <c r="B14" s="17">
        <f t="shared" ca="1" si="0"/>
        <v>-1</v>
      </c>
      <c r="C14" s="20">
        <f t="shared" ca="1" si="1"/>
        <v>0</v>
      </c>
      <c r="D14" s="18">
        <f t="shared" ca="1" si="2"/>
        <v>0</v>
      </c>
      <c r="E14" s="18">
        <f t="shared" ca="1" si="3"/>
        <v>4.83265306122449</v>
      </c>
      <c r="F14" s="18">
        <f t="shared" ca="1" si="4"/>
        <v>-4.83265306122449</v>
      </c>
      <c r="I14" s="19">
        <f t="shared" ca="1" si="5"/>
        <v>-1</v>
      </c>
      <c r="J14" s="18">
        <f t="shared" ca="1" si="6"/>
        <v>0</v>
      </c>
      <c r="K14" s="18">
        <f t="shared" ca="1" si="7"/>
        <v>0</v>
      </c>
      <c r="L14" s="18">
        <f ca="1">($K$3+SUMIFS($K$4:K14,$I$4:I14,"&gt;0"))/
($I$3+SUMIFS($I$4:I14,$I$4:I14,"&gt;0"))</f>
        <v>4.8912466843501328</v>
      </c>
      <c r="M14" s="18">
        <f t="shared" ca="1" si="8"/>
        <v>-4.8912466843501328</v>
      </c>
    </row>
    <row r="15" spans="1:13" x14ac:dyDescent="0.3">
      <c r="B15" s="17">
        <f t="shared" ca="1" si="0"/>
        <v>-150</v>
      </c>
      <c r="C15" s="20">
        <f t="shared" ca="1" si="1"/>
        <v>0</v>
      </c>
      <c r="D15" s="18">
        <f t="shared" ca="1" si="2"/>
        <v>0</v>
      </c>
      <c r="E15" s="18">
        <f t="shared" ca="1" si="3"/>
        <v>4.83265306122449</v>
      </c>
      <c r="F15" s="18">
        <f t="shared" ca="1" si="4"/>
        <v>-724.89795918367349</v>
      </c>
      <c r="I15" s="19">
        <f t="shared" ca="1" si="5"/>
        <v>-150</v>
      </c>
      <c r="J15" s="18">
        <f t="shared" ca="1" si="6"/>
        <v>0</v>
      </c>
      <c r="K15" s="18">
        <f t="shared" ca="1" si="7"/>
        <v>0</v>
      </c>
      <c r="L15" s="18">
        <f ca="1">($K$3+SUMIFS($K$4:K15,$I$4:I15,"&gt;0"))/
($I$3+SUMIFS($I$4:I15,$I$4:I15,"&gt;0"))</f>
        <v>4.8912466843501328</v>
      </c>
      <c r="M15" s="18">
        <f t="shared" ca="1" si="8"/>
        <v>-733.68700265251994</v>
      </c>
    </row>
    <row r="16" spans="1:13" x14ac:dyDescent="0.3">
      <c r="B16" s="17">
        <f t="shared" ca="1" si="0"/>
        <v>20</v>
      </c>
      <c r="C16" s="20">
        <f t="shared" ca="1" si="1"/>
        <v>5</v>
      </c>
      <c r="D16" s="18">
        <f t="shared" ca="1" si="2"/>
        <v>100</v>
      </c>
      <c r="E16" s="18">
        <f t="shared" ca="1" si="3"/>
        <v>4.83265306122449</v>
      </c>
      <c r="F16" s="18">
        <f t="shared" ca="1" si="4"/>
        <v>0</v>
      </c>
      <c r="I16" s="19">
        <f t="shared" ca="1" si="5"/>
        <v>20</v>
      </c>
      <c r="J16" s="18">
        <f t="shared" ca="1" si="6"/>
        <v>5</v>
      </c>
      <c r="K16" s="18">
        <f t="shared" ca="1" si="7"/>
        <v>100</v>
      </c>
      <c r="L16" s="18">
        <f ca="1">($K$3+SUMIFS($K$4:K16,$I$4:I16,"&gt;0"))/
($I$3+SUMIFS($I$4:I16,$I$4:I16,"&gt;0"))</f>
        <v>4.8931364031277154</v>
      </c>
      <c r="M16" s="18">
        <f t="shared" ca="1" si="8"/>
        <v>0</v>
      </c>
    </row>
    <row r="17" spans="1:16372" x14ac:dyDescent="0.3">
      <c r="B17" s="17">
        <f t="shared" ca="1" si="0"/>
        <v>-109</v>
      </c>
      <c r="C17" s="20">
        <f t="shared" ca="1" si="1"/>
        <v>0</v>
      </c>
      <c r="D17" s="18">
        <f t="shared" ca="1" si="2"/>
        <v>0</v>
      </c>
      <c r="E17" s="18">
        <f t="shared" ca="1" si="3"/>
        <v>4.83265306122449</v>
      </c>
      <c r="F17" s="18">
        <f t="shared" ca="1" si="4"/>
        <v>-526.75918367346947</v>
      </c>
      <c r="I17" s="19">
        <f t="shared" ca="1" si="5"/>
        <v>-109</v>
      </c>
      <c r="J17" s="18">
        <f t="shared" ca="1" si="6"/>
        <v>0</v>
      </c>
      <c r="K17" s="18">
        <f t="shared" ca="1" si="7"/>
        <v>0</v>
      </c>
      <c r="L17" s="18">
        <f ca="1">($K$3+SUMIFS($K$4:K17,$I$4:I17,"&gt;0"))/
($I$3+SUMIFS($I$4:I17,$I$4:I17,"&gt;0"))</f>
        <v>4.8931364031277154</v>
      </c>
      <c r="M17" s="18">
        <f t="shared" ca="1" si="8"/>
        <v>-533.35186794092101</v>
      </c>
    </row>
    <row r="18" spans="1:16372" x14ac:dyDescent="0.3">
      <c r="B18" s="17">
        <f t="shared" ca="1" si="0"/>
        <v>-173</v>
      </c>
      <c r="C18" s="20">
        <f t="shared" ca="1" si="1"/>
        <v>0</v>
      </c>
      <c r="D18" s="18">
        <f t="shared" ca="1" si="2"/>
        <v>0</v>
      </c>
      <c r="E18" s="18">
        <f t="shared" ca="1" si="3"/>
        <v>4.83265306122449</v>
      </c>
      <c r="F18" s="18">
        <f t="shared" ca="1" si="4"/>
        <v>-836.04897959183677</v>
      </c>
      <c r="I18" s="19">
        <f t="shared" ca="1" si="5"/>
        <v>-173</v>
      </c>
      <c r="J18" s="18">
        <f t="shared" ca="1" si="6"/>
        <v>0</v>
      </c>
      <c r="K18" s="18">
        <f t="shared" ca="1" si="7"/>
        <v>0</v>
      </c>
      <c r="L18" s="18">
        <f ca="1">($K$3+SUMIFS($K$4:K18,$I$4:I18,"&gt;0"))/
($I$3+SUMIFS($I$4:I18,$I$4:I18,"&gt;0"))</f>
        <v>4.8931364031277154</v>
      </c>
      <c r="M18" s="18">
        <f t="shared" ca="1" si="8"/>
        <v>-846.51259774109474</v>
      </c>
    </row>
    <row r="19" spans="1:16372" x14ac:dyDescent="0.3">
      <c r="B19" s="17">
        <f t="shared" ca="1" si="0"/>
        <v>-190</v>
      </c>
      <c r="C19" s="20">
        <f t="shared" ca="1" si="1"/>
        <v>0</v>
      </c>
      <c r="D19" s="18">
        <f t="shared" ca="1" si="2"/>
        <v>0</v>
      </c>
      <c r="E19" s="18">
        <f t="shared" ca="1" si="3"/>
        <v>4.83265306122449</v>
      </c>
      <c r="F19" s="18">
        <f t="shared" ca="1" si="4"/>
        <v>-918.20408163265313</v>
      </c>
      <c r="I19" s="19">
        <f t="shared" ca="1" si="5"/>
        <v>-190</v>
      </c>
      <c r="J19" s="18">
        <f t="shared" ca="1" si="6"/>
        <v>0</v>
      </c>
      <c r="K19" s="18">
        <f t="shared" ca="1" si="7"/>
        <v>0</v>
      </c>
      <c r="L19" s="18">
        <f ca="1">($K$3+SUMIFS($K$4:K19,$I$4:I19,"&gt;0"))/
($I$3+SUMIFS($I$4:I19,$I$4:I19,"&gt;0"))</f>
        <v>4.8931364031277154</v>
      </c>
      <c r="M19" s="18">
        <f t="shared" ca="1" si="8"/>
        <v>-929.6959165942659</v>
      </c>
    </row>
    <row r="20" spans="1:16372" x14ac:dyDescent="0.3">
      <c r="B20" s="17">
        <f t="shared" ca="1" si="0"/>
        <v>-108</v>
      </c>
      <c r="C20" s="20">
        <f t="shared" ca="1" si="1"/>
        <v>0</v>
      </c>
      <c r="D20" s="18">
        <f t="shared" ca="1" si="2"/>
        <v>0</v>
      </c>
      <c r="E20" s="18">
        <f t="shared" ca="1" si="3"/>
        <v>4.83265306122449</v>
      </c>
      <c r="F20" s="18">
        <f t="shared" ca="1" si="4"/>
        <v>-521.92653061224496</v>
      </c>
      <c r="I20" s="19">
        <f t="shared" ca="1" si="5"/>
        <v>-108</v>
      </c>
      <c r="J20" s="18">
        <f t="shared" ca="1" si="6"/>
        <v>0</v>
      </c>
      <c r="K20" s="18">
        <f t="shared" ca="1" si="7"/>
        <v>0</v>
      </c>
      <c r="L20" s="18">
        <f ca="1">($K$3+SUMIFS($K$4:K20,$I$4:I20,"&gt;0"))/
($I$3+SUMIFS($I$4:I20,$I$4:I20,"&gt;0"))</f>
        <v>4.8931364031277154</v>
      </c>
      <c r="M20" s="18">
        <f t="shared" ca="1" si="8"/>
        <v>-528.45873153779326</v>
      </c>
    </row>
    <row r="21" spans="1:16372" x14ac:dyDescent="0.3">
      <c r="B21" s="17">
        <f t="shared" ca="1" si="0"/>
        <v>-35</v>
      </c>
      <c r="C21" s="20">
        <f t="shared" ca="1" si="1"/>
        <v>0</v>
      </c>
      <c r="D21" s="18">
        <f t="shared" ca="1" si="2"/>
        <v>0</v>
      </c>
      <c r="E21" s="18">
        <f t="shared" ca="1" si="3"/>
        <v>4.83265306122449</v>
      </c>
      <c r="F21" s="18">
        <f t="shared" ca="1" si="4"/>
        <v>-169.14285714285714</v>
      </c>
      <c r="I21" s="19">
        <f t="shared" ca="1" si="5"/>
        <v>-35</v>
      </c>
      <c r="J21" s="18">
        <f t="shared" ca="1" si="6"/>
        <v>0</v>
      </c>
      <c r="K21" s="18">
        <f t="shared" ca="1" si="7"/>
        <v>0</v>
      </c>
      <c r="L21" s="18">
        <f ca="1">($K$3+SUMIFS($K$4:K21,$I$4:I21,"&gt;0"))/
($I$3+SUMIFS($I$4:I21,$I$4:I21,"&gt;0"))</f>
        <v>4.8931364031277154</v>
      </c>
      <c r="M21" s="18">
        <f t="shared" ca="1" si="8"/>
        <v>-171.25977410947004</v>
      </c>
    </row>
    <row r="22" spans="1:16372" x14ac:dyDescent="0.3">
      <c r="B22" s="17">
        <f t="shared" ca="1" si="0"/>
        <v>-168</v>
      </c>
      <c r="C22" s="20">
        <f t="shared" ca="1" si="1"/>
        <v>0</v>
      </c>
      <c r="D22" s="18">
        <f t="shared" ca="1" si="2"/>
        <v>0</v>
      </c>
      <c r="E22" s="18">
        <f t="shared" ca="1" si="3"/>
        <v>4.83265306122449</v>
      </c>
      <c r="F22" s="18">
        <f t="shared" ca="1" si="4"/>
        <v>-811.88571428571436</v>
      </c>
      <c r="I22" s="19">
        <f t="shared" ca="1" si="5"/>
        <v>-168</v>
      </c>
      <c r="J22" s="18">
        <f t="shared" ca="1" si="6"/>
        <v>0</v>
      </c>
      <c r="K22" s="18">
        <f t="shared" ca="1" si="7"/>
        <v>0</v>
      </c>
      <c r="L22" s="18">
        <f ca="1">($K$3+SUMIFS($K$4:K22,$I$4:I22,"&gt;0"))/
($I$3+SUMIFS($I$4:I22,$I$4:I22,"&gt;0"))</f>
        <v>4.8931364031277154</v>
      </c>
      <c r="M22" s="18">
        <f t="shared" ca="1" si="8"/>
        <v>-822.04691572545619</v>
      </c>
    </row>
    <row r="23" spans="1:16372" x14ac:dyDescent="0.3">
      <c r="B23" s="17">
        <f t="shared" ca="1" si="0"/>
        <v>-140</v>
      </c>
      <c r="C23" s="20">
        <f t="shared" ca="1" si="1"/>
        <v>0</v>
      </c>
      <c r="D23" s="18">
        <f t="shared" ca="1" si="2"/>
        <v>0</v>
      </c>
      <c r="E23" s="18">
        <f t="shared" ca="1" si="3"/>
        <v>4.83265306122449</v>
      </c>
      <c r="F23" s="18">
        <f t="shared" ca="1" si="4"/>
        <v>-676.57142857142856</v>
      </c>
      <c r="I23" s="19">
        <f t="shared" ca="1" si="5"/>
        <v>-140</v>
      </c>
      <c r="J23" s="18">
        <f t="shared" ca="1" si="6"/>
        <v>0</v>
      </c>
      <c r="K23" s="18">
        <f t="shared" ca="1" si="7"/>
        <v>0</v>
      </c>
      <c r="L23" s="18">
        <f ca="1">($K$3+SUMIFS($K$4:K23,$I$4:I23,"&gt;0"))/
($I$3+SUMIFS($I$4:I23,$I$4:I23,"&gt;0"))</f>
        <v>4.8931364031277154</v>
      </c>
      <c r="M23" s="18">
        <f t="shared" ca="1" si="8"/>
        <v>-685.03909643788018</v>
      </c>
    </row>
    <row r="24" spans="1:16372" x14ac:dyDescent="0.3">
      <c r="B24" s="17">
        <f t="shared" ca="1" si="0"/>
        <v>-70</v>
      </c>
      <c r="C24" s="20">
        <f t="shared" ca="1" si="1"/>
        <v>0</v>
      </c>
      <c r="D24" s="18">
        <f t="shared" ca="1" si="2"/>
        <v>0</v>
      </c>
      <c r="E24" s="18">
        <f t="shared" ca="1" si="3"/>
        <v>4.83265306122449</v>
      </c>
      <c r="F24" s="18">
        <f t="shared" ca="1" si="4"/>
        <v>-338.28571428571428</v>
      </c>
      <c r="I24" s="19">
        <f t="shared" ca="1" si="5"/>
        <v>-70</v>
      </c>
      <c r="J24" s="18">
        <f t="shared" ca="1" si="6"/>
        <v>0</v>
      </c>
      <c r="K24" s="18">
        <f t="shared" ca="1" si="7"/>
        <v>0</v>
      </c>
      <c r="L24" s="18">
        <f ca="1">($K$3+SUMIFS($K$4:K24,$I$4:I24,"&gt;0"))/
($I$3+SUMIFS($I$4:I24,$I$4:I24,"&gt;0"))</f>
        <v>4.8931364031277154</v>
      </c>
      <c r="M24" s="18">
        <f t="shared" ca="1" si="8"/>
        <v>-342.51954821894009</v>
      </c>
    </row>
    <row r="25" spans="1:16372" x14ac:dyDescent="0.3">
      <c r="B25" s="17">
        <f t="shared" ca="1" si="0"/>
        <v>66</v>
      </c>
      <c r="C25" s="20">
        <f t="shared" ca="1" si="1"/>
        <v>4</v>
      </c>
      <c r="D25" s="18">
        <f t="shared" ca="1" si="2"/>
        <v>264</v>
      </c>
      <c r="E25" s="18">
        <f t="shared" ca="1" si="3"/>
        <v>4.83265306122449</v>
      </c>
      <c r="F25" s="18">
        <f t="shared" ca="1" si="4"/>
        <v>0</v>
      </c>
      <c r="I25" s="19">
        <f t="shared" ca="1" si="5"/>
        <v>66</v>
      </c>
      <c r="J25" s="18">
        <f t="shared" ca="1" si="6"/>
        <v>4</v>
      </c>
      <c r="K25" s="18">
        <f t="shared" ca="1" si="7"/>
        <v>264</v>
      </c>
      <c r="L25" s="18">
        <f ca="1">($K$3+SUMIFS($K$4:K25,$I$4:I25,"&gt;0"))/
($I$3+SUMIFS($I$4:I25,$I$4:I25,"&gt;0"))</f>
        <v>4.8447000821692683</v>
      </c>
      <c r="M25" s="18">
        <f t="shared" ca="1" si="8"/>
        <v>0</v>
      </c>
    </row>
    <row r="26" spans="1:16372" x14ac:dyDescent="0.3">
      <c r="B26" s="17">
        <f t="shared" ca="1" si="0"/>
        <v>-134</v>
      </c>
      <c r="C26" s="20">
        <f t="shared" ca="1" si="1"/>
        <v>0</v>
      </c>
      <c r="D26" s="18">
        <f t="shared" ca="1" si="2"/>
        <v>0</v>
      </c>
      <c r="E26" s="18">
        <f t="shared" ca="1" si="3"/>
        <v>4.83265306122449</v>
      </c>
      <c r="F26" s="18">
        <f t="shared" ca="1" si="4"/>
        <v>-647.57551020408164</v>
      </c>
      <c r="I26" s="19">
        <f t="shared" ca="1" si="5"/>
        <v>-134</v>
      </c>
      <c r="J26" s="18">
        <f t="shared" ca="1" si="6"/>
        <v>0</v>
      </c>
      <c r="K26" s="18">
        <f t="shared" ca="1" si="7"/>
        <v>0</v>
      </c>
      <c r="L26" s="18">
        <f ca="1">($K$3+SUMIFS($K$4:K26,$I$4:I26,"&gt;0"))/
($I$3+SUMIFS($I$4:I26,$I$4:I26,"&gt;0"))</f>
        <v>4.8447000821692683</v>
      </c>
      <c r="M26" s="18">
        <f t="shared" ca="1" si="8"/>
        <v>-649.18981101068198</v>
      </c>
    </row>
    <row r="27" spans="1:16372" x14ac:dyDescent="0.3">
      <c r="B27" s="17">
        <f t="shared" ca="1" si="0"/>
        <v>8</v>
      </c>
      <c r="C27" s="20">
        <f t="shared" ca="1" si="1"/>
        <v>3</v>
      </c>
      <c r="D27" s="18">
        <f t="shared" ca="1" si="2"/>
        <v>24</v>
      </c>
      <c r="E27" s="18">
        <f t="shared" ca="1" si="3"/>
        <v>4.83265306122449</v>
      </c>
      <c r="F27" s="18">
        <f t="shared" ca="1" si="4"/>
        <v>0</v>
      </c>
      <c r="I27" s="19">
        <f t="shared" ca="1" si="5"/>
        <v>8</v>
      </c>
      <c r="J27" s="18">
        <f t="shared" ca="1" si="6"/>
        <v>3</v>
      </c>
      <c r="K27" s="18">
        <f t="shared" ca="1" si="7"/>
        <v>24</v>
      </c>
      <c r="L27" s="18">
        <f ca="1">($K$3+SUMIFS($K$4:K27,$I$4:I27,"&gt;0"))/
($I$3+SUMIFS($I$4:I27,$I$4:I27,"&gt;0"))</f>
        <v>4.83265306122449</v>
      </c>
      <c r="M27" s="18">
        <f t="shared" ca="1" si="8"/>
        <v>0</v>
      </c>
    </row>
    <row r="28" spans="1:16372" ht="19.5" thickBot="1" x14ac:dyDescent="0.35">
      <c r="B28" s="17">
        <f t="shared" ca="1" si="0"/>
        <v>-107</v>
      </c>
      <c r="C28" s="20">
        <f t="shared" ca="1" si="1"/>
        <v>0</v>
      </c>
      <c r="D28" s="18">
        <f t="shared" ca="1" si="2"/>
        <v>0</v>
      </c>
      <c r="E28" s="18">
        <f t="shared" ca="1" si="3"/>
        <v>4.83265306122449</v>
      </c>
      <c r="F28" s="18">
        <f t="shared" ca="1" si="4"/>
        <v>-517.09387755102046</v>
      </c>
      <c r="I28" s="19">
        <f t="shared" ca="1" si="5"/>
        <v>-107</v>
      </c>
      <c r="J28" s="18">
        <f t="shared" ca="1" si="6"/>
        <v>0</v>
      </c>
      <c r="K28" s="18">
        <f t="shared" ca="1" si="7"/>
        <v>0</v>
      </c>
      <c r="L28" s="18">
        <f ca="1">($K$3+SUMIFS($K$4:K28,$I$4:I28,"&gt;0"))/
($I$3+SUMIFS($I$4:I28,$I$4:I28,"&gt;0"))</f>
        <v>4.83265306122449</v>
      </c>
      <c r="M28" s="18">
        <f t="shared" ca="1" si="8"/>
        <v>-517.09387755102046</v>
      </c>
    </row>
    <row r="29" spans="1:16372" ht="19.5" thickTop="1" x14ac:dyDescent="0.3">
      <c r="A29" s="16" t="s">
        <v>71</v>
      </c>
      <c r="B29" s="15">
        <f ca="1">+SUM(B4:B28)</f>
        <v>-1780</v>
      </c>
      <c r="C29" s="13">
        <f ca="1">+SUMIFS(C4:C28,C4:C28,"&gt;0")/COUNTIFS(C4:C28,"&gt;0")</f>
        <v>4.4285714285714288</v>
      </c>
      <c r="D29" s="13">
        <f ca="1">+SUM(D4:D28)</f>
        <v>920</v>
      </c>
      <c r="E29" s="14"/>
      <c r="F29" s="13">
        <f ca="1">+SUM(F4:F28)</f>
        <v>-9689.4693877551017</v>
      </c>
      <c r="G29" s="17"/>
      <c r="H29" s="16" t="s">
        <v>71</v>
      </c>
      <c r="I29" s="15">
        <f ca="1">+SUM(I4:I28)</f>
        <v>-1780</v>
      </c>
      <c r="J29" s="13">
        <f ca="1">+C29</f>
        <v>4.4285714285714288</v>
      </c>
      <c r="K29" s="13">
        <f ca="1">+SUM(K4:K28)</f>
        <v>920</v>
      </c>
      <c r="L29" s="14"/>
      <c r="M29" s="13">
        <f ca="1">+SUM(M4:M28)</f>
        <v>-9830.9634627236319</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-780</v>
      </c>
      <c r="C31" s="10">
        <f ca="1">+E28</f>
        <v>4.83265306122449</v>
      </c>
      <c r="D31" s="10">
        <f ca="1">+B31*C31</f>
        <v>-3769.4693877551022</v>
      </c>
      <c r="E31" s="9"/>
      <c r="F31" s="9"/>
      <c r="G31" s="12"/>
      <c r="H31" s="8" t="s">
        <v>70</v>
      </c>
      <c r="I31" s="11">
        <f ca="1">I3+SUM(I4:I28)</f>
        <v>-780</v>
      </c>
      <c r="J31" s="10">
        <f ca="1">+L28</f>
        <v>4.83265306122449</v>
      </c>
      <c r="K31" s="10">
        <f ca="1">+I31*J31</f>
        <v>-3769.4693877551022</v>
      </c>
      <c r="L31" s="9"/>
      <c r="M31" s="9"/>
    </row>
    <row r="34" spans="11:13" x14ac:dyDescent="0.3">
      <c r="K34" s="28" t="s">
        <v>81</v>
      </c>
      <c r="M34" s="18">
        <f ca="1">-M29--F29</f>
        <v>141.49407496853019</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 ref="A26:A29"/>
    <mergeCell ref="A30:A33"/>
    <mergeCell ref="A34:A37"/>
    <mergeCell ref="B38:B41"/>
    <mergeCell ref="B42:B45"/>
    <mergeCell ref="A38:A41"/>
    <mergeCell ref="A42:A45"/>
    <mergeCell ref="B26:B29"/>
    <mergeCell ref="B30:B33"/>
    <mergeCell ref="B34:B37"/>
    <mergeCell ref="A22:A25"/>
    <mergeCell ref="B2:B5"/>
    <mergeCell ref="B6:B9"/>
    <mergeCell ref="B10:B13"/>
    <mergeCell ref="B14:B17"/>
    <mergeCell ref="B18:B21"/>
    <mergeCell ref="B22:B25"/>
    <mergeCell ref="A2:A5"/>
    <mergeCell ref="A6:A9"/>
    <mergeCell ref="A10:A13"/>
    <mergeCell ref="A14:A17"/>
    <mergeCell ref="A18:A2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2024-09-17T01:58:46Z</cp:lastPrinted>
  <dcterms:created xsi:type="dcterms:W3CDTF">2015-06-05T18:17:20Z</dcterms:created>
  <dcterms:modified xsi:type="dcterms:W3CDTF">2024-09-21T04:30:42Z</dcterms:modified>
</cp:coreProperties>
</file>