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activeTab="3"/>
  </bookViews>
  <sheets>
    <sheet name="QUAN_LY_TON_KHO_DINH_MUC" sheetId="1" r:id="rId1"/>
    <sheet name="WORK_FLOW" sheetId="2" r:id="rId2"/>
    <sheet name="TABLE" sheetId="9" r:id="rId3"/>
    <sheet name="USER_FLOW_KINH_DOANH_TV" sheetId="13" r:id="rId4"/>
    <sheet name="USER_FLOW_BP_KINH_DOANH" sheetId="6" r:id="rId5"/>
    <sheet name="USER_FLOW_BP_KE_HOACH" sheetId="8" r:id="rId6"/>
    <sheet name="USER_FLOW_BP_KE_HOACH_NEW" sheetId="12" r:id="rId7"/>
    <sheet name="USER_FLOW_KE_TOAN" sheetId="10" r:id="rId8"/>
    <sheet name="USER_FLOW_DDH_THANH_VIEN" sheetId="11" r:id="rId9"/>
    <sheet name="PP_TINH_GIA_XUAT_KHO" sheetId="3" r:id="rId10"/>
    <sheet name="HUONG_DAN_NGHIEP_VU" sheetId="4" r:id="rId11"/>
    <sheet name="PHAN_QUYEN" sheetId="5" r:id="rId12"/>
  </sheets>
  <functionGroups builtInGroupCount="18"/>
  <definedNames>
    <definedName name="_xlnm._FilterDatabase" localSheetId="11" hidden="1">PHAN_QUYEN!$A$1:$E$77</definedName>
    <definedName name="_xlnm._FilterDatabase" localSheetId="2" hidden="1">TABLE!$A$1:$E$45</definedName>
    <definedName name="_xlnm.Print_Area" localSheetId="10">HUONG_DAN_NGHIEP_VU!$A$1:$B$17</definedName>
    <definedName name="_xlnm.Print_Area" localSheetId="5">USER_FLOW_BP_KE_HOACH!#REF!</definedName>
    <definedName name="_xlnm.Print_Area" localSheetId="4">USER_FLOW_BP_KINH_DOANH!$A$1:$AO$38</definedName>
    <definedName name="_xlnm.Print_Area" localSheetId="8">USER_FLOW_DDH_THANH_VIEN!$A$1:$AO$13</definedName>
    <definedName name="_xlnm.Print_Area" localSheetId="7">USER_FLOW_KE_TOAN!$A$1:$AO$36</definedName>
    <definedName name="_xlnm.Print_Area" localSheetId="3">USER_FLOW_KINH_DOANH_TV!$A$1:$AO$42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<sst xmlns="http://schemas.openxmlformats.org/spreadsheetml/2006/main" count="601" uniqueCount="229">
  <si>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</si>
  <si>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</si>
  <si>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</si>
  <si>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</si>
  <si>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</si>
  <si>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</si>
  <si>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</si>
  <si>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</si>
  <si>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</si>
  <si>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</si>
  <si>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</si>
  <si>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</si>
  <si>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</si>
  <si>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</si>
  <si>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</si>
  <si>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</si>
  <si>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</si>
  <si>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</si>
  <si>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</si>
  <si>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</si>
  <si>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</si>
  <si>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</si>
  <si>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</si>
  <si>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</si>
  <si>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</si>
  <si>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</si>
  <si>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</si>
  <si>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</si>
  <si>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</si>
  <si>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</si>
  <si>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</si>
  <si>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</si>
  <si>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</si>
  <si>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</si>
  <si>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</si>
  <si>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</si>
  <si>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</si>
  <si>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</si>
  <si>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</si>
  <si>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</si>
  <si>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</si>
  <si>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</si>
  <si>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</si>
  <si>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</si>
  <si>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</si>
  <si>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</si>
  <si>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</si>
  <si>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</si>
  <si>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</si>
  <si>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</si>
  <si>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</si>
  <si>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</si>
  <si>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</si>
  <si>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</si>
  <si>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</si>
  <si>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</si>
  <si>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</si>
  <si>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</si>
  <si>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</si>
  <si>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</si>
  <si>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</si>
  <si>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</si>
  <si>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</si>
  <si>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</si>
  <si>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</si>
  <si>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</si>
  <si>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</si>
  <si>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</si>
  <si>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</si>
  <si>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</si>
  <si>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</si>
  <si>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</si>
  <si>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</si>
  <si>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</si>
  <si>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</si>
  <si>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</si>
  <si>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</si>
  <si>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</si>
  <si>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</si>
  <si>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</si>
  <si>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</si>
  <si>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</si>
  <si>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</si>
  <si>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</si>
  <si>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</si>
  <si>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</si>
  <si>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</si>
  <si>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</si>
  <si>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</si>
  <si>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</si>
  <si>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</si>
  <si>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</si>
  <si>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</si>
  <si>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</si>
  <si>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</si>
  <si>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</si>
  <si>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</si>
  <si>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</si>
  <si>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</si>
  <si>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</si>
  <si>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</si>
  <si>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</si>
  <si>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</si>
  <si>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</si>
  <si>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</si>
  <si>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</si>
  <si>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</si>
  <si>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</si>
  <si>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</si>
  <si>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</si>
  <si>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</si>
  <si>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</si>
  <si>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</si>
  <si>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</si>
  <si>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</si>
  <si>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</si>
  <si>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</si>
  <si>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</si>
  <si>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</si>
  <si>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</si>
  <si>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</si>
  <si>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</si>
  <si>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</si>
  <si>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</si>
  <si>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</si>
  <si>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</si>
  <si>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</si>
  <si>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</si>
  <si>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</si>
  <si>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</si>
  <si>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</si>
  <si>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</si>
  <si>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</si>
  <si>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</si>
  <si>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</si>
  <si>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</si>
  <si>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</si>
  <si>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</si>
  <si>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</si>
  <si>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</si>
  <si>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</si>
  <si>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</si>
  <si>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</si>
  <si>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</si>
  <si>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</si>
  <si>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</si>
  <si>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</si>
  <si>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</si>
  <si>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</si>
  <si>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</si>
  <si>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</si>
  <si>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</si>
  <si>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</si>
  <si>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</si>
  <si>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</si>
  <si>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</si>
  <si>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</si>
  <si>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</si>
  <si>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</si>
  <si>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</si>
  <si>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</si>
  <si>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</si>
  <si>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</si>
  <si>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</si>
  <si>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</si>
  <si>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</si>
  <si>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</si>
  <si>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</si>
  <si>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</si>
  <si>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</si>
  <si>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</si>
  <si>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</si>
  <si>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</si>
  <si>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</si>
  <si>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</si>
  <si>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</si>
  <si>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</si>
  <si>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</si>
  <si>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</si>
  <si>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</si>
  <si>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</si>
  <si>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</si>
  <si>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</si>
  <si>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</si>
  <si>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</si>
  <si>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</si>
  <si>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</si>
  <si>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</si>
  <si>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</si>
  <si>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</si>
  <si>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</si>
  <si>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</si>
  <si>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</si>
  <si>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</si>
  <si>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</si>
  <si>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</si>
  <si>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</si>
  <si>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</si>
  <si>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</si>
  <si>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</si>
  <si>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</si>
  <si>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</si>
  <si>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</si>
  <si>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</si>
  <si>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</si>
  <si>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</si>
  <si>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</si>
  <si>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</si>
  <si>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</si>
  <si>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</si>
  <si>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</si>
  <si>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</si>
  <si>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</si>
  <si>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</si>
  <si>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</si>
  <si>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</si>
  <si>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</si>
  <si>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</si>
  <si>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</si>
  <si>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</si>
  <si>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</si>
  <si>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</si>
  <si>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</si>
  <si>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</si>
  <si>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</si>
  <si>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</si>
  <si>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</si>
  <si>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</si>
  <si>
    <t>SHAPE_06.1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</si>
</sst>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4.9930675909878683</c:v>
                </c:pt>
                <c:pt idx="1">
                  <c:v>4.9930675909878683</c:v>
                </c:pt>
                <c:pt idx="2">
                  <c:v>4.9930675909878683</c:v>
                </c:pt>
                <c:pt idx="3">
                  <c:v>4.9930675909878683</c:v>
                </c:pt>
                <c:pt idx="4">
                  <c:v>4.9930675909878683</c:v>
                </c:pt>
                <c:pt idx="5">
                  <c:v>4.9930675909878683</c:v>
                </c:pt>
                <c:pt idx="6">
                  <c:v>4.9930675909878683</c:v>
                </c:pt>
                <c:pt idx="7">
                  <c:v>4.9930675909878683</c:v>
                </c:pt>
                <c:pt idx="8">
                  <c:v>4.9930675909878683</c:v>
                </c:pt>
                <c:pt idx="9">
                  <c:v>4.9930675909878683</c:v>
                </c:pt>
                <c:pt idx="10">
                  <c:v>4.9930675909878683</c:v>
                </c:pt>
                <c:pt idx="11">
                  <c:v>4.9930675909878683</c:v>
                </c:pt>
                <c:pt idx="12">
                  <c:v>4.9930675909878683</c:v>
                </c:pt>
                <c:pt idx="13">
                  <c:v>4.9930675909878683</c:v>
                </c:pt>
                <c:pt idx="14">
                  <c:v>4.9930675909878683</c:v>
                </c:pt>
                <c:pt idx="15">
                  <c:v>4.9930675909878683</c:v>
                </c:pt>
                <c:pt idx="16">
                  <c:v>4.9930675909878683</c:v>
                </c:pt>
                <c:pt idx="17">
                  <c:v>4.9930675909878683</c:v>
                </c:pt>
                <c:pt idx="18">
                  <c:v>4.9930675909878683</c:v>
                </c:pt>
                <c:pt idx="19">
                  <c:v>4.9930675909878683</c:v>
                </c:pt>
                <c:pt idx="20">
                  <c:v>4.9930675909878683</c:v>
                </c:pt>
                <c:pt idx="21">
                  <c:v>4.9930675909878683</c:v>
                </c:pt>
                <c:pt idx="22">
                  <c:v>4.9930675909878683</c:v>
                </c:pt>
                <c:pt idx="23">
                  <c:v>4.9930675909878683</c:v>
                </c:pt>
                <c:pt idx="24">
                  <c:v>4.9930675909878683</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5.0019980019980022</c:v>
                </c:pt>
                <c:pt idx="1">
                  <c:v>4.8616838487972505</c:v>
                </c:pt>
                <c:pt idx="2">
                  <c:v>4.8616838487972505</c:v>
                </c:pt>
                <c:pt idx="3">
                  <c:v>4.8616838487972505</c:v>
                </c:pt>
                <c:pt idx="4">
                  <c:v>5.0264511388684792</c:v>
                </c:pt>
                <c:pt idx="5">
                  <c:v>5.0264511388684792</c:v>
                </c:pt>
                <c:pt idx="6">
                  <c:v>5.0264511388684792</c:v>
                </c:pt>
                <c:pt idx="7">
                  <c:v>5.0253342716396903</c:v>
                </c:pt>
                <c:pt idx="8">
                  <c:v>5.1183959261616803</c:v>
                </c:pt>
                <c:pt idx="9">
                  <c:v>5.2952710495963089</c:v>
                </c:pt>
                <c:pt idx="10">
                  <c:v>5.2952710495963089</c:v>
                </c:pt>
                <c:pt idx="11">
                  <c:v>5.2952710495963089</c:v>
                </c:pt>
                <c:pt idx="12">
                  <c:v>5.1409359870898337</c:v>
                </c:pt>
                <c:pt idx="13">
                  <c:v>5.137100994243851</c:v>
                </c:pt>
                <c:pt idx="14">
                  <c:v>5.137100994243851</c:v>
                </c:pt>
                <c:pt idx="15">
                  <c:v>5.2164328657314627</c:v>
                </c:pt>
                <c:pt idx="16">
                  <c:v>5.2164328657314627</c:v>
                </c:pt>
                <c:pt idx="17">
                  <c:v>5.2164328657314627</c:v>
                </c:pt>
                <c:pt idx="18">
                  <c:v>5.2164328657314627</c:v>
                </c:pt>
                <c:pt idx="19">
                  <c:v>5.2164328657314627</c:v>
                </c:pt>
                <c:pt idx="20">
                  <c:v>5.1178637200736645</c:v>
                </c:pt>
                <c:pt idx="21">
                  <c:v>4.9930675909878683</c:v>
                </c:pt>
                <c:pt idx="22">
                  <c:v>4.9930675909878683</c:v>
                </c:pt>
                <c:pt idx="23">
                  <c:v>4.9930675909878683</c:v>
                </c:pt>
                <c:pt idx="24">
                  <c:v>4.9930675909878683</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179617</xdr:colOff>
      <xdr:row>22</xdr:row>
      <xdr:rowOff>5262</xdr:rowOff>
    </xdr:from>
    <xdr:to>
      <xdr:col>14</xdr:col>
      <xdr:colOff>95250</xdr:colOff>
      <xdr:row>41</xdr:row>
      <xdr:rowOff>68035</xdr:rowOff>
    </xdr:to>
    <xdr:sp macro="" textlink="">
      <xdr:nvSpPr>
        <xdr:cNvPr id="211" name="Rounded Rectangle 210"/>
        <xdr:cNvSpPr/>
      </xdr:nvSpPr>
      <xdr:spPr>
        <a:xfrm>
          <a:off x="2628903" y="4209869"/>
          <a:ext cx="6038847" cy="3682273"/>
        </a:xfrm>
        <a:prstGeom prst="roundRect">
          <a:avLst/>
        </a:prstGeom>
        <a:solidFill>
          <a:schemeClr val="accent6">
            <a:lumMod val="20000"/>
            <a:lumOff val="80000"/>
          </a:schemeClr>
        </a:solid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t"/>
        <a:lstStyle/>
        <a:p>
          <a:pPr algn="l"/>
          <a:r>
            <a:rPr lang="en-US" sz="2000"/>
            <a:t>Bộ</a:t>
          </a:r>
          <a:r>
            <a:rPr lang="en-US" sz="2000" baseline="0"/>
            <a:t> phận vật tư - TM</a:t>
          </a:r>
          <a:endParaRPr lang="en-US" sz="2000"/>
        </a:p>
      </xdr:txBody>
    </xdr:sp>
    <xdr:clientData/>
  </xdr:twoCellAnchor>
  <xdr:twoCellAnchor>
    <xdr:from>
      <xdr:col>1</xdr:col>
      <xdr:colOff>176892</xdr:colOff>
      <xdr:row>0</xdr:row>
      <xdr:rowOff>136060</xdr:rowOff>
    </xdr:from>
    <xdr:to>
      <xdr:col>8</xdr:col>
      <xdr:colOff>462643</xdr:colOff>
      <xdr:row>2</xdr:row>
      <xdr:rowOff>163274</xdr:rowOff>
    </xdr:to>
    <xdr:sp macro="" textlink="">
      <xdr:nvSpPr>
        <xdr:cNvPr id="2" name="Rectangle 1"/>
        <xdr:cNvSpPr/>
      </xdr:nvSpPr>
      <xdr:spPr>
        <a:xfrm>
          <a:off x="176892" y="136060"/>
          <a:ext cx="4572001"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 - TM</a:t>
          </a:r>
          <a:endParaRPr lang="en-US" sz="2800">
            <a:solidFill>
              <a:sysClr val="windowText" lastClr="000000"/>
            </a:solidFill>
          </a:endParaRPr>
        </a:p>
      </xdr:txBody>
    </xdr:sp>
    <xdr:clientData/>
  </xdr:twoCellAnchor>
  <xdr:twoCellAnchor>
    <xdr:from>
      <xdr:col>0</xdr:col>
      <xdr:colOff>244930</xdr:colOff>
      <xdr:row>9</xdr:row>
      <xdr:rowOff>197</xdr:rowOff>
    </xdr:from>
    <xdr:to>
      <xdr:col>3</xdr:col>
      <xdr:colOff>588428</xdr:colOff>
      <xdr:row>20</xdr:row>
      <xdr:rowOff>52009</xdr:rowOff>
    </xdr:to>
    <xdr:sp macro="" textlink="">
      <xdr:nvSpPr>
        <xdr:cNvPr id="3" name="Rounded Rectangle 2"/>
        <xdr:cNvSpPr>
          <a:spLocks noChangeAspect="1"/>
        </xdr:cNvSpPr>
      </xdr:nvSpPr>
      <xdr:spPr>
        <a:xfrm>
          <a:off x="244930" y="1728304"/>
          <a:ext cx="2180462" cy="2147312"/>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Thông</a:t>
          </a:r>
          <a:r>
            <a:rPr lang="en-US" sz="2400" baseline="0">
              <a:solidFill>
                <a:schemeClr val="lt1"/>
              </a:solidFill>
              <a:latin typeface="+mn-lt"/>
              <a:ea typeface="+mn-ea"/>
              <a:cs typeface="+mn-cs"/>
            </a:rPr>
            <a:t> báo mời thầu</a:t>
          </a:r>
          <a:endParaRPr lang="en-US" sz="2400">
            <a:solidFill>
              <a:schemeClr val="lt1"/>
            </a:solidFill>
            <a:latin typeface="+mn-lt"/>
            <a:ea typeface="+mn-ea"/>
            <a:cs typeface="+mn-cs"/>
          </a:endParaRPr>
        </a:p>
      </xdr:txBody>
    </xdr:sp>
    <xdr:clientData/>
  </xdr:twoCellAnchor>
  <xdr:twoCellAnchor>
    <xdr:from>
      <xdr:col>4</xdr:col>
      <xdr:colOff>548821</xdr:colOff>
      <xdr:row>11</xdr:row>
      <xdr:rowOff>122458</xdr:rowOff>
    </xdr:from>
    <xdr:to>
      <xdr:col>8</xdr:col>
      <xdr:colOff>31752</xdr:colOff>
      <xdr:row>17</xdr:row>
      <xdr:rowOff>122458</xdr:rowOff>
    </xdr:to>
    <xdr:sp macro="" textlink="">
      <xdr:nvSpPr>
        <xdr:cNvPr id="6" name="Rounded Rectangle 5"/>
        <xdr:cNvSpPr/>
      </xdr:nvSpPr>
      <xdr:spPr>
        <a:xfrm>
          <a:off x="2998107" y="2231565"/>
          <a:ext cx="1932216"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mới gói thầu</a:t>
          </a:r>
          <a:endParaRPr lang="en-US" sz="2400"/>
        </a:p>
      </xdr:txBody>
    </xdr:sp>
    <xdr:clientData/>
  </xdr:twoCellAnchor>
  <xdr:twoCellAnchor>
    <xdr:from>
      <xdr:col>19</xdr:col>
      <xdr:colOff>127035</xdr:colOff>
      <xdr:row>10</xdr:row>
      <xdr:rowOff>180835</xdr:rowOff>
    </xdr:from>
    <xdr:to>
      <xdr:col>21</xdr:col>
      <xdr:colOff>535250</xdr:colOff>
      <xdr:row>18</xdr:row>
      <xdr:rowOff>64081</xdr:rowOff>
    </xdr:to>
    <xdr:sp macro="" textlink="">
      <xdr:nvSpPr>
        <xdr:cNvPr id="8" name="Rounded Rectangle 7"/>
        <xdr:cNvSpPr/>
      </xdr:nvSpPr>
      <xdr:spPr>
        <a:xfrm>
          <a:off x="11148821" y="2099442"/>
          <a:ext cx="1632858" cy="14072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Nộp</a:t>
          </a:r>
          <a:r>
            <a:rPr lang="en-US" sz="2400" baseline="0">
              <a:solidFill>
                <a:schemeClr val="lt1"/>
              </a:solidFill>
              <a:latin typeface="+mn-lt"/>
              <a:ea typeface="+mn-ea"/>
              <a:cs typeface="+mn-cs"/>
            </a:rPr>
            <a:t> hồ sơ đ</a:t>
          </a:r>
          <a:r>
            <a:rPr lang="en-US" sz="2400">
              <a:solidFill>
                <a:schemeClr val="lt1"/>
              </a:solidFill>
              <a:latin typeface="+mn-lt"/>
              <a:ea typeface="+mn-ea"/>
              <a:cs typeface="+mn-cs"/>
            </a:rPr>
            <a:t>ầu</a:t>
          </a:r>
          <a:r>
            <a:rPr lang="en-US" sz="2400" baseline="0">
              <a:solidFill>
                <a:schemeClr val="lt1"/>
              </a:solidFill>
              <a:latin typeface="+mn-lt"/>
              <a:ea typeface="+mn-ea"/>
              <a:cs typeface="+mn-cs"/>
            </a:rPr>
            <a:t> thầu</a:t>
          </a:r>
          <a:endParaRPr lang="en-US" sz="2400">
            <a:solidFill>
              <a:schemeClr val="lt1"/>
            </a:solidFill>
            <a:latin typeface="+mn-lt"/>
            <a:ea typeface="+mn-ea"/>
            <a:cs typeface="+mn-cs"/>
          </a:endParaRPr>
        </a:p>
      </xdr:txBody>
    </xdr:sp>
    <xdr:clientData/>
  </xdr:twoCellAnchor>
  <xdr:twoCellAnchor>
    <xdr:from>
      <xdr:col>3</xdr:col>
      <xdr:colOff>588428</xdr:colOff>
      <xdr:row>14</xdr:row>
      <xdr:rowOff>121353</xdr:rowOff>
    </xdr:from>
    <xdr:to>
      <xdr:col>4</xdr:col>
      <xdr:colOff>548821</xdr:colOff>
      <xdr:row>14</xdr:row>
      <xdr:rowOff>122458</xdr:rowOff>
    </xdr:to>
    <xdr:cxnSp macro="">
      <xdr:nvCxnSpPr>
        <xdr:cNvPr id="10" name="Straight Arrow Connector 9"/>
        <xdr:cNvCxnSpPr>
          <a:stCxn id="3" idx="3"/>
          <a:endCxn id="6" idx="1"/>
        </xdr:cNvCxnSpPr>
      </xdr:nvCxnSpPr>
      <xdr:spPr>
        <a:xfrm>
          <a:off x="2425392" y="2801960"/>
          <a:ext cx="572715" cy="1105"/>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321508</xdr:colOff>
      <xdr:row>11</xdr:row>
      <xdr:rowOff>122458</xdr:rowOff>
    </xdr:from>
    <xdr:to>
      <xdr:col>32</xdr:col>
      <xdr:colOff>590449</xdr:colOff>
      <xdr:row>17</xdr:row>
      <xdr:rowOff>122458</xdr:rowOff>
    </xdr:to>
    <xdr:sp macro="" textlink="">
      <xdr:nvSpPr>
        <xdr:cNvPr id="12" name="Rounded Rectangle 11"/>
        <xdr:cNvSpPr/>
      </xdr:nvSpPr>
      <xdr:spPr>
        <a:xfrm>
          <a:off x="17466508" y="223156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Hợp</a:t>
          </a:r>
          <a:r>
            <a:rPr lang="en-US" sz="2400" baseline="0"/>
            <a:t> đồng</a:t>
          </a:r>
          <a:endParaRPr lang="en-US" sz="2400"/>
        </a:p>
      </xdr:txBody>
    </xdr:sp>
    <xdr:clientData/>
  </xdr:twoCellAnchor>
  <xdr:twoCellAnchor>
    <xdr:from>
      <xdr:col>22</xdr:col>
      <xdr:colOff>373182</xdr:colOff>
      <xdr:row>8</xdr:row>
      <xdr:rowOff>7878</xdr:rowOff>
    </xdr:from>
    <xdr:to>
      <xdr:col>26</xdr:col>
      <xdr:colOff>585108</xdr:colOff>
      <xdr:row>21</xdr:row>
      <xdr:rowOff>54429</xdr:rowOff>
    </xdr:to>
    <xdr:sp macro="" textlink="">
      <xdr:nvSpPr>
        <xdr:cNvPr id="14" name="Diamond 13"/>
        <xdr:cNvSpPr/>
      </xdr:nvSpPr>
      <xdr:spPr>
        <a:xfrm>
          <a:off x="13844253" y="1545485"/>
          <a:ext cx="2661212" cy="252305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Kết</a:t>
          </a:r>
          <a:r>
            <a:rPr lang="en-US" sz="2400" baseline="0"/>
            <a:t> quả trúng thầu</a:t>
          </a:r>
          <a:endParaRPr lang="en-US" sz="2400"/>
        </a:p>
      </xdr:txBody>
    </xdr:sp>
    <xdr:clientData/>
  </xdr:twoCellAnchor>
  <xdr:twoCellAnchor>
    <xdr:from>
      <xdr:col>28</xdr:col>
      <xdr:colOff>415541</xdr:colOff>
      <xdr:row>14</xdr:row>
      <xdr:rowOff>122458</xdr:rowOff>
    </xdr:from>
    <xdr:to>
      <xdr:col>29</xdr:col>
      <xdr:colOff>321508</xdr:colOff>
      <xdr:row>14</xdr:row>
      <xdr:rowOff>122458</xdr:rowOff>
    </xdr:to>
    <xdr:cxnSp macro="">
      <xdr:nvCxnSpPr>
        <xdr:cNvPr id="15" name="Straight Arrow Connector 14"/>
        <xdr:cNvCxnSpPr>
          <a:stCxn id="22" idx="3"/>
          <a:endCxn id="12" idx="1"/>
        </xdr:cNvCxnSpPr>
      </xdr:nvCxnSpPr>
      <xdr:spPr>
        <a:xfrm>
          <a:off x="16948220"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367917</xdr:colOff>
      <xdr:row>13</xdr:row>
      <xdr:rowOff>131983</xdr:rowOff>
    </xdr:from>
    <xdr:to>
      <xdr:col>28</xdr:col>
      <xdr:colOff>415541</xdr:colOff>
      <xdr:row>15</xdr:row>
      <xdr:rowOff>112933</xdr:rowOff>
    </xdr:to>
    <xdr:sp macro="" textlink="">
      <xdr:nvSpPr>
        <xdr:cNvPr id="22" name="Rounded Rectangle 21"/>
        <xdr:cNvSpPr/>
      </xdr:nvSpPr>
      <xdr:spPr>
        <a:xfrm>
          <a:off x="16288274" y="262209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26</xdr:col>
      <xdr:colOff>585108</xdr:colOff>
      <xdr:row>14</xdr:row>
      <xdr:rowOff>122458</xdr:rowOff>
    </xdr:from>
    <xdr:to>
      <xdr:col>27</xdr:col>
      <xdr:colOff>367917</xdr:colOff>
      <xdr:row>14</xdr:row>
      <xdr:rowOff>126404</xdr:rowOff>
    </xdr:to>
    <xdr:cxnSp macro="">
      <xdr:nvCxnSpPr>
        <xdr:cNvPr id="23" name="Straight Connector 22"/>
        <xdr:cNvCxnSpPr>
          <a:stCxn id="14" idx="3"/>
          <a:endCxn id="22" idx="1"/>
        </xdr:cNvCxnSpPr>
      </xdr:nvCxnSpPr>
      <xdr:spPr>
        <a:xfrm flipV="1">
          <a:off x="16505465" y="2803065"/>
          <a:ext cx="395131" cy="3946"/>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472961</xdr:colOff>
      <xdr:row>7</xdr:row>
      <xdr:rowOff>12714</xdr:rowOff>
    </xdr:from>
    <xdr:to>
      <xdr:col>10</xdr:col>
      <xdr:colOff>520585</xdr:colOff>
      <xdr:row>8</xdr:row>
      <xdr:rowOff>184164</xdr:rowOff>
    </xdr:to>
    <xdr:sp macro="" textlink="">
      <xdr:nvSpPr>
        <xdr:cNvPr id="24" name="Rounded Rectangle 23"/>
        <xdr:cNvSpPr/>
      </xdr:nvSpPr>
      <xdr:spPr>
        <a:xfrm>
          <a:off x="5371532" y="1359821"/>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10</xdr:col>
      <xdr:colOff>520585</xdr:colOff>
      <xdr:row>7</xdr:row>
      <xdr:rowOff>190487</xdr:rowOff>
    </xdr:from>
    <xdr:to>
      <xdr:col>14</xdr:col>
      <xdr:colOff>308474</xdr:colOff>
      <xdr:row>8</xdr:row>
      <xdr:rowOff>3189</xdr:rowOff>
    </xdr:to>
    <xdr:cxnSp macro="">
      <xdr:nvCxnSpPr>
        <xdr:cNvPr id="25" name="Straight Connector 24"/>
        <xdr:cNvCxnSpPr>
          <a:stCxn id="58" idx="0"/>
          <a:endCxn id="24" idx="3"/>
        </xdr:cNvCxnSpPr>
      </xdr:nvCxnSpPr>
      <xdr:spPr>
        <a:xfrm flipH="1">
          <a:off x="6031478" y="1537594"/>
          <a:ext cx="2237175" cy="3202"/>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190612</xdr:colOff>
      <xdr:row>8</xdr:row>
      <xdr:rowOff>184164</xdr:rowOff>
    </xdr:from>
    <xdr:to>
      <xdr:col>10</xdr:col>
      <xdr:colOff>190612</xdr:colOff>
      <xdr:row>11</xdr:row>
      <xdr:rowOff>122458</xdr:rowOff>
    </xdr:to>
    <xdr:cxnSp macro="">
      <xdr:nvCxnSpPr>
        <xdr:cNvPr id="26" name="Straight Connector 25"/>
        <xdr:cNvCxnSpPr>
          <a:stCxn id="24" idx="2"/>
          <a:endCxn id="57" idx="0"/>
        </xdr:cNvCxnSpPr>
      </xdr:nvCxnSpPr>
      <xdr:spPr>
        <a:xfrm>
          <a:off x="5701505" y="1721771"/>
          <a:ext cx="0" cy="509794"/>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1116</xdr:colOff>
      <xdr:row>11</xdr:row>
      <xdr:rowOff>122458</xdr:rowOff>
    </xdr:from>
    <xdr:to>
      <xdr:col>36</xdr:col>
      <xdr:colOff>470802</xdr:colOff>
      <xdr:row>17</xdr:row>
      <xdr:rowOff>122458</xdr:rowOff>
    </xdr:to>
    <xdr:sp macro="" textlink="">
      <xdr:nvSpPr>
        <xdr:cNvPr id="30" name="Rounded Rectangle 29"/>
        <xdr:cNvSpPr/>
      </xdr:nvSpPr>
      <xdr:spPr>
        <a:xfrm>
          <a:off x="20207723" y="223156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hoạch đặt hàng</a:t>
          </a:r>
          <a:endParaRPr lang="en-US" sz="2400"/>
        </a:p>
      </xdr:txBody>
    </xdr:sp>
    <xdr:clientData/>
  </xdr:twoCellAnchor>
  <xdr:twoCellAnchor>
    <xdr:from>
      <xdr:col>32</xdr:col>
      <xdr:colOff>590449</xdr:colOff>
      <xdr:row>14</xdr:row>
      <xdr:rowOff>122458</xdr:rowOff>
    </xdr:from>
    <xdr:to>
      <xdr:col>34</xdr:col>
      <xdr:colOff>1116</xdr:colOff>
      <xdr:row>14</xdr:row>
      <xdr:rowOff>122458</xdr:rowOff>
    </xdr:to>
    <xdr:cxnSp macro="">
      <xdr:nvCxnSpPr>
        <xdr:cNvPr id="31" name="Straight Arrow Connector 30"/>
        <xdr:cNvCxnSpPr>
          <a:stCxn id="12" idx="3"/>
          <a:endCxn id="30" idx="1"/>
        </xdr:cNvCxnSpPr>
      </xdr:nvCxnSpPr>
      <xdr:spPr>
        <a:xfrm>
          <a:off x="19572413" y="2803065"/>
          <a:ext cx="635310"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173442</xdr:colOff>
      <xdr:row>13</xdr:row>
      <xdr:rowOff>131983</xdr:rowOff>
    </xdr:from>
    <xdr:to>
      <xdr:col>18</xdr:col>
      <xdr:colOff>221069</xdr:colOff>
      <xdr:row>15</xdr:row>
      <xdr:rowOff>112933</xdr:rowOff>
    </xdr:to>
    <xdr:sp macro="" textlink="">
      <xdr:nvSpPr>
        <xdr:cNvPr id="40" name="Rounded Rectangle 39"/>
        <xdr:cNvSpPr/>
      </xdr:nvSpPr>
      <xdr:spPr>
        <a:xfrm>
          <a:off x="9970585" y="2622090"/>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16</xdr:col>
      <xdr:colOff>267476</xdr:colOff>
      <xdr:row>14</xdr:row>
      <xdr:rowOff>122458</xdr:rowOff>
    </xdr:from>
    <xdr:to>
      <xdr:col>17</xdr:col>
      <xdr:colOff>173442</xdr:colOff>
      <xdr:row>14</xdr:row>
      <xdr:rowOff>122458</xdr:rowOff>
    </xdr:to>
    <xdr:cxnSp macro="">
      <xdr:nvCxnSpPr>
        <xdr:cNvPr id="41" name="Straight Connector 40"/>
        <xdr:cNvCxnSpPr>
          <a:stCxn id="58" idx="3"/>
          <a:endCxn id="40" idx="1"/>
        </xdr:cNvCxnSpPr>
      </xdr:nvCxnSpPr>
      <xdr:spPr>
        <a:xfrm>
          <a:off x="9452297" y="2803065"/>
          <a:ext cx="518288" cy="0"/>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221069</xdr:colOff>
      <xdr:row>14</xdr:row>
      <xdr:rowOff>122458</xdr:rowOff>
    </xdr:from>
    <xdr:to>
      <xdr:col>19</xdr:col>
      <xdr:colOff>127035</xdr:colOff>
      <xdr:row>14</xdr:row>
      <xdr:rowOff>122458</xdr:rowOff>
    </xdr:to>
    <xdr:cxnSp macro="">
      <xdr:nvCxnSpPr>
        <xdr:cNvPr id="42" name="Straight Arrow Connector 41"/>
        <xdr:cNvCxnSpPr>
          <a:stCxn id="40" idx="3"/>
          <a:endCxn id="8" idx="1"/>
        </xdr:cNvCxnSpPr>
      </xdr:nvCxnSpPr>
      <xdr:spPr>
        <a:xfrm>
          <a:off x="10630533"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121610</xdr:colOff>
      <xdr:row>3</xdr:row>
      <xdr:rowOff>107310</xdr:rowOff>
    </xdr:from>
    <xdr:to>
      <xdr:col>25</xdr:col>
      <xdr:colOff>169235</xdr:colOff>
      <xdr:row>5</xdr:row>
      <xdr:rowOff>74653</xdr:rowOff>
    </xdr:to>
    <xdr:sp macro="" textlink="">
      <xdr:nvSpPr>
        <xdr:cNvPr id="43" name="Rounded Rectangle 42"/>
        <xdr:cNvSpPr/>
      </xdr:nvSpPr>
      <xdr:spPr>
        <a:xfrm>
          <a:off x="14205003" y="678810"/>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24</xdr:col>
      <xdr:colOff>451584</xdr:colOff>
      <xdr:row>5</xdr:row>
      <xdr:rowOff>74653</xdr:rowOff>
    </xdr:from>
    <xdr:to>
      <xdr:col>24</xdr:col>
      <xdr:colOff>479145</xdr:colOff>
      <xdr:row>8</xdr:row>
      <xdr:rowOff>7878</xdr:rowOff>
    </xdr:to>
    <xdr:cxnSp macro="">
      <xdr:nvCxnSpPr>
        <xdr:cNvPr id="44" name="Straight Connector 43"/>
        <xdr:cNvCxnSpPr>
          <a:stCxn id="14" idx="0"/>
          <a:endCxn id="43" idx="2"/>
        </xdr:cNvCxnSpPr>
      </xdr:nvCxnSpPr>
      <xdr:spPr>
        <a:xfrm flipH="1" flipV="1">
          <a:off x="15147298" y="1040760"/>
          <a:ext cx="27561" cy="504725"/>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169235</xdr:colOff>
      <xdr:row>4</xdr:row>
      <xdr:rowOff>97785</xdr:rowOff>
    </xdr:from>
    <xdr:to>
      <xdr:col>26</xdr:col>
      <xdr:colOff>319255</xdr:colOff>
      <xdr:row>4</xdr:row>
      <xdr:rowOff>97786</xdr:rowOff>
    </xdr:to>
    <xdr:cxnSp macro="">
      <xdr:nvCxnSpPr>
        <xdr:cNvPr id="45" name="Straight Connector 44"/>
        <xdr:cNvCxnSpPr>
          <a:stCxn id="43" idx="3"/>
          <a:endCxn id="48" idx="1"/>
        </xdr:cNvCxnSpPr>
      </xdr:nvCxnSpPr>
      <xdr:spPr>
        <a:xfrm>
          <a:off x="14864949" y="859785"/>
          <a:ext cx="762342" cy="1"/>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535250</xdr:colOff>
      <xdr:row>14</xdr:row>
      <xdr:rowOff>122458</xdr:rowOff>
    </xdr:from>
    <xdr:to>
      <xdr:col>22</xdr:col>
      <xdr:colOff>373182</xdr:colOff>
      <xdr:row>14</xdr:row>
      <xdr:rowOff>126404</xdr:rowOff>
    </xdr:to>
    <xdr:cxnSp macro="">
      <xdr:nvCxnSpPr>
        <xdr:cNvPr id="47" name="Straight Arrow Connector 46"/>
        <xdr:cNvCxnSpPr>
          <a:stCxn id="8" idx="3"/>
          <a:endCxn id="14" idx="1"/>
        </xdr:cNvCxnSpPr>
      </xdr:nvCxnSpPr>
      <xdr:spPr>
        <a:xfrm>
          <a:off x="13394000" y="2803065"/>
          <a:ext cx="450253" cy="3946"/>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319255</xdr:colOff>
      <xdr:row>2</xdr:row>
      <xdr:rowOff>134345</xdr:rowOff>
    </xdr:from>
    <xdr:to>
      <xdr:col>28</xdr:col>
      <xdr:colOff>95250</xdr:colOff>
      <xdr:row>6</xdr:row>
      <xdr:rowOff>47619</xdr:rowOff>
    </xdr:to>
    <xdr:sp macro="" textlink="">
      <xdr:nvSpPr>
        <xdr:cNvPr id="48" name="Rounded Rectangle 47"/>
        <xdr:cNvSpPr/>
      </xdr:nvSpPr>
      <xdr:spPr>
        <a:xfrm>
          <a:off x="15627291" y="515345"/>
          <a:ext cx="1000638" cy="68888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STOP</a:t>
          </a:r>
        </a:p>
      </xdr:txBody>
    </xdr:sp>
    <xdr:clientData/>
  </xdr:twoCellAnchor>
  <xdr:twoCellAnchor>
    <xdr:from>
      <xdr:col>37</xdr:col>
      <xdr:colOff>27217</xdr:colOff>
      <xdr:row>1</xdr:row>
      <xdr:rowOff>138613</xdr:rowOff>
    </xdr:from>
    <xdr:to>
      <xdr:col>40</xdr:col>
      <xdr:colOff>68038</xdr:colOff>
      <xdr:row>7</xdr:row>
      <xdr:rowOff>43350</xdr:rowOff>
    </xdr:to>
    <xdr:sp macro="" textlink="">
      <xdr:nvSpPr>
        <xdr:cNvPr id="50" name="Rounded Rectangle 49"/>
        <xdr:cNvSpPr/>
      </xdr:nvSpPr>
      <xdr:spPr>
        <a:xfrm>
          <a:off x="22683110" y="329113"/>
          <a:ext cx="1877785" cy="1061344"/>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Nhà</a:t>
          </a:r>
          <a:r>
            <a:rPr lang="en-US" sz="1600" baseline="0"/>
            <a:t> máy</a:t>
          </a:r>
          <a:r>
            <a:rPr lang="en-US" sz="1600"/>
            <a:t> lên</a:t>
          </a:r>
          <a:r>
            <a:rPr lang="en-US" sz="1600" baseline="0"/>
            <a:t> kế hoạch sản xuất</a:t>
          </a:r>
          <a:endParaRPr lang="en-US" sz="1600"/>
        </a:p>
      </xdr:txBody>
    </xdr:sp>
    <xdr:clientData/>
  </xdr:twoCellAnchor>
  <xdr:twoCellAnchor>
    <xdr:from>
      <xdr:col>36</xdr:col>
      <xdr:colOff>470802</xdr:colOff>
      <xdr:row>7</xdr:row>
      <xdr:rowOff>43350</xdr:rowOff>
    </xdr:from>
    <xdr:to>
      <xdr:col>38</xdr:col>
      <xdr:colOff>353789</xdr:colOff>
      <xdr:row>14</xdr:row>
      <xdr:rowOff>122458</xdr:rowOff>
    </xdr:to>
    <xdr:cxnSp macro="">
      <xdr:nvCxnSpPr>
        <xdr:cNvPr id="51" name="Straight Connector 50"/>
        <xdr:cNvCxnSpPr>
          <a:stCxn id="30" idx="3"/>
          <a:endCxn id="50" idx="2"/>
        </xdr:cNvCxnSpPr>
      </xdr:nvCxnSpPr>
      <xdr:spPr>
        <a:xfrm flipV="1">
          <a:off x="22514373" y="1390457"/>
          <a:ext cx="1107630" cy="1412608"/>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550040</xdr:colOff>
      <xdr:row>11</xdr:row>
      <xdr:rowOff>122458</xdr:rowOff>
    </xdr:from>
    <xdr:to>
      <xdr:col>11</xdr:col>
      <xdr:colOff>443506</xdr:colOff>
      <xdr:row>17</xdr:row>
      <xdr:rowOff>122458</xdr:rowOff>
    </xdr:to>
    <xdr:sp macro="" textlink="">
      <xdr:nvSpPr>
        <xdr:cNvPr id="57" name="Rounded Rectangle 56"/>
        <xdr:cNvSpPr/>
      </xdr:nvSpPr>
      <xdr:spPr>
        <a:xfrm>
          <a:off x="5448611" y="2231565"/>
          <a:ext cx="1730431"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duyệt giá</a:t>
          </a:r>
          <a:endParaRPr lang="en-US" sz="2400">
            <a:solidFill>
              <a:schemeClr val="lt1"/>
            </a:solidFill>
            <a:latin typeface="+mn-lt"/>
            <a:ea typeface="+mn-ea"/>
            <a:cs typeface="+mn-cs"/>
          </a:endParaRPr>
        </a:p>
      </xdr:txBody>
    </xdr:sp>
    <xdr:clientData/>
  </xdr:twoCellAnchor>
  <xdr:twoCellAnchor>
    <xdr:from>
      <xdr:col>12</xdr:col>
      <xdr:colOff>349472</xdr:colOff>
      <xdr:row>7</xdr:row>
      <xdr:rowOff>190487</xdr:rowOff>
    </xdr:from>
    <xdr:to>
      <xdr:col>16</xdr:col>
      <xdr:colOff>267476</xdr:colOff>
      <xdr:row>21</xdr:row>
      <xdr:rowOff>54429</xdr:rowOff>
    </xdr:to>
    <xdr:sp macro="" textlink="">
      <xdr:nvSpPr>
        <xdr:cNvPr id="58" name="Diamond 57"/>
        <xdr:cNvSpPr/>
      </xdr:nvSpPr>
      <xdr:spPr>
        <a:xfrm>
          <a:off x="7085008" y="1537594"/>
          <a:ext cx="2367289" cy="253094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DG</a:t>
          </a:r>
          <a:r>
            <a:rPr lang="en-US" sz="2400" baseline="0"/>
            <a:t> được duyệt</a:t>
          </a:r>
          <a:endParaRPr lang="en-US" sz="2400"/>
        </a:p>
      </xdr:txBody>
    </xdr:sp>
    <xdr:clientData/>
  </xdr:twoCellAnchor>
  <xdr:twoCellAnchor>
    <xdr:from>
      <xdr:col>8</xdr:col>
      <xdr:colOff>31752</xdr:colOff>
      <xdr:row>14</xdr:row>
      <xdr:rowOff>122458</xdr:rowOff>
    </xdr:from>
    <xdr:to>
      <xdr:col>8</xdr:col>
      <xdr:colOff>550040</xdr:colOff>
      <xdr:row>14</xdr:row>
      <xdr:rowOff>122458</xdr:rowOff>
    </xdr:to>
    <xdr:cxnSp macro="">
      <xdr:nvCxnSpPr>
        <xdr:cNvPr id="98" name="Straight Arrow Connector 97"/>
        <xdr:cNvCxnSpPr>
          <a:stCxn id="6" idx="3"/>
          <a:endCxn id="57" idx="1"/>
        </xdr:cNvCxnSpPr>
      </xdr:nvCxnSpPr>
      <xdr:spPr>
        <a:xfrm>
          <a:off x="4318002"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443506</xdr:colOff>
      <xdr:row>14</xdr:row>
      <xdr:rowOff>122458</xdr:rowOff>
    </xdr:from>
    <xdr:to>
      <xdr:col>12</xdr:col>
      <xdr:colOff>349472</xdr:colOff>
      <xdr:row>14</xdr:row>
      <xdr:rowOff>122458</xdr:rowOff>
    </xdr:to>
    <xdr:cxnSp macro="">
      <xdr:nvCxnSpPr>
        <xdr:cNvPr id="101" name="Straight Arrow Connector 100"/>
        <xdr:cNvCxnSpPr>
          <a:stCxn id="57" idx="3"/>
          <a:endCxn id="58" idx="1"/>
        </xdr:cNvCxnSpPr>
      </xdr:nvCxnSpPr>
      <xdr:spPr>
        <a:xfrm>
          <a:off x="6566720" y="2803065"/>
          <a:ext cx="51828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567171</xdr:colOff>
      <xdr:row>27</xdr:row>
      <xdr:rowOff>148719</xdr:rowOff>
    </xdr:from>
    <xdr:to>
      <xdr:col>37</xdr:col>
      <xdr:colOff>517069</xdr:colOff>
      <xdr:row>37</xdr:row>
      <xdr:rowOff>113074</xdr:rowOff>
    </xdr:to>
    <xdr:sp macro="" textlink="">
      <xdr:nvSpPr>
        <xdr:cNvPr id="122" name="Rounded Rectangle 121"/>
        <xdr:cNvSpPr/>
      </xdr:nvSpPr>
      <xdr:spPr>
        <a:xfrm>
          <a:off x="20161457" y="5305826"/>
          <a:ext cx="3011505" cy="186935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nhận hàng từ khách hàng</a:t>
          </a:r>
          <a:endParaRPr lang="en-US" sz="2400"/>
        </a:p>
      </xdr:txBody>
    </xdr:sp>
    <xdr:clientData/>
  </xdr:twoCellAnchor>
  <xdr:twoCellAnchor>
    <xdr:from>
      <xdr:col>25</xdr:col>
      <xdr:colOff>354139</xdr:colOff>
      <xdr:row>25</xdr:row>
      <xdr:rowOff>84352</xdr:rowOff>
    </xdr:from>
    <xdr:to>
      <xdr:col>30</xdr:col>
      <xdr:colOff>408214</xdr:colOff>
      <xdr:row>40</xdr:row>
      <xdr:rowOff>0</xdr:rowOff>
    </xdr:to>
    <xdr:sp macro="" textlink="">
      <xdr:nvSpPr>
        <xdr:cNvPr id="124" name="Diamond 123"/>
        <xdr:cNvSpPr/>
      </xdr:nvSpPr>
      <xdr:spPr>
        <a:xfrm>
          <a:off x="15662175" y="4860459"/>
          <a:ext cx="3115682" cy="2773148"/>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 đủ hàng</a:t>
          </a:r>
          <a:endParaRPr lang="en-US" sz="2400"/>
        </a:p>
      </xdr:txBody>
    </xdr:sp>
    <xdr:clientData/>
  </xdr:twoCellAnchor>
  <xdr:twoCellAnchor>
    <xdr:from>
      <xdr:col>20</xdr:col>
      <xdr:colOff>209716</xdr:colOff>
      <xdr:row>27</xdr:row>
      <xdr:rowOff>187365</xdr:rowOff>
    </xdr:from>
    <xdr:to>
      <xdr:col>22</xdr:col>
      <xdr:colOff>204622</xdr:colOff>
      <xdr:row>27</xdr:row>
      <xdr:rowOff>187365</xdr:rowOff>
    </xdr:to>
    <xdr:cxnSp macro="">
      <xdr:nvCxnSpPr>
        <xdr:cNvPr id="125" name="Straight Arrow Connector 124"/>
        <xdr:cNvCxnSpPr>
          <a:stCxn id="126" idx="1"/>
          <a:endCxn id="166" idx="3"/>
        </xdr:cNvCxnSpPr>
      </xdr:nvCxnSpPr>
      <xdr:spPr>
        <a:xfrm flipH="1">
          <a:off x="12456145" y="5344472"/>
          <a:ext cx="1219548"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204622</xdr:colOff>
      <xdr:row>27</xdr:row>
      <xdr:rowOff>6390</xdr:rowOff>
    </xdr:from>
    <xdr:to>
      <xdr:col>23</xdr:col>
      <xdr:colOff>252247</xdr:colOff>
      <xdr:row>28</xdr:row>
      <xdr:rowOff>177840</xdr:rowOff>
    </xdr:to>
    <xdr:sp macro="" textlink="">
      <xdr:nvSpPr>
        <xdr:cNvPr id="126" name="Rounded Rectangle 125"/>
        <xdr:cNvSpPr/>
      </xdr:nvSpPr>
      <xdr:spPr>
        <a:xfrm>
          <a:off x="13675693" y="5163497"/>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252247</xdr:colOff>
      <xdr:row>27</xdr:row>
      <xdr:rowOff>187365</xdr:rowOff>
    </xdr:from>
    <xdr:to>
      <xdr:col>25</xdr:col>
      <xdr:colOff>354139</xdr:colOff>
      <xdr:row>32</xdr:row>
      <xdr:rowOff>137426</xdr:rowOff>
    </xdr:to>
    <xdr:cxnSp macro="">
      <xdr:nvCxnSpPr>
        <xdr:cNvPr id="127" name="Straight Connector 126"/>
        <xdr:cNvCxnSpPr>
          <a:stCxn id="124" idx="1"/>
          <a:endCxn id="126" idx="3"/>
        </xdr:cNvCxnSpPr>
      </xdr:nvCxnSpPr>
      <xdr:spPr>
        <a:xfrm flipH="1" flipV="1">
          <a:off x="14335640" y="5344472"/>
          <a:ext cx="1326535" cy="902561"/>
        </a:xfrm>
        <a:prstGeom prst="line">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204622</xdr:colOff>
      <xdr:row>36</xdr:row>
      <xdr:rowOff>85725</xdr:rowOff>
    </xdr:from>
    <xdr:to>
      <xdr:col>23</xdr:col>
      <xdr:colOff>252247</xdr:colOff>
      <xdr:row>38</xdr:row>
      <xdr:rowOff>66675</xdr:rowOff>
    </xdr:to>
    <xdr:sp macro="" textlink="">
      <xdr:nvSpPr>
        <xdr:cNvPr id="128" name="Rounded Rectangle 127"/>
        <xdr:cNvSpPr/>
      </xdr:nvSpPr>
      <xdr:spPr>
        <a:xfrm>
          <a:off x="13675693" y="6957332"/>
          <a:ext cx="659947"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23</xdr:col>
      <xdr:colOff>252247</xdr:colOff>
      <xdr:row>32</xdr:row>
      <xdr:rowOff>137426</xdr:rowOff>
    </xdr:from>
    <xdr:to>
      <xdr:col>25</xdr:col>
      <xdr:colOff>354139</xdr:colOff>
      <xdr:row>37</xdr:row>
      <xdr:rowOff>76200</xdr:rowOff>
    </xdr:to>
    <xdr:cxnSp macro="">
      <xdr:nvCxnSpPr>
        <xdr:cNvPr id="129" name="Straight Connector 128"/>
        <xdr:cNvCxnSpPr>
          <a:stCxn id="124" idx="1"/>
          <a:endCxn id="128" idx="3"/>
        </xdr:cNvCxnSpPr>
      </xdr:nvCxnSpPr>
      <xdr:spPr>
        <a:xfrm flipH="1">
          <a:off x="14335640" y="6247033"/>
          <a:ext cx="1326535" cy="891274"/>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192268</xdr:colOff>
      <xdr:row>37</xdr:row>
      <xdr:rowOff>76200</xdr:rowOff>
    </xdr:from>
    <xdr:to>
      <xdr:col>22</xdr:col>
      <xdr:colOff>204622</xdr:colOff>
      <xdr:row>37</xdr:row>
      <xdr:rowOff>76200</xdr:rowOff>
    </xdr:to>
    <xdr:cxnSp macro="">
      <xdr:nvCxnSpPr>
        <xdr:cNvPr id="130" name="Straight Connector 129"/>
        <xdr:cNvCxnSpPr>
          <a:stCxn id="128" idx="1"/>
          <a:endCxn id="131" idx="3"/>
        </xdr:cNvCxnSpPr>
      </xdr:nvCxnSpPr>
      <xdr:spPr>
        <a:xfrm flipH="1">
          <a:off x="12438697" y="7138307"/>
          <a:ext cx="1236996" cy="0"/>
        </a:xfrm>
        <a:prstGeom prst="line">
          <a:avLst/>
        </a:prstGeom>
        <a:ln w="38100">
          <a:prstDash val="dash"/>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570545</xdr:colOff>
      <xdr:row>34</xdr:row>
      <xdr:rowOff>176893</xdr:rowOff>
    </xdr:from>
    <xdr:to>
      <xdr:col>20</xdr:col>
      <xdr:colOff>192268</xdr:colOff>
      <xdr:row>39</xdr:row>
      <xdr:rowOff>166007</xdr:rowOff>
    </xdr:to>
    <xdr:sp macro="" textlink="">
      <xdr:nvSpPr>
        <xdr:cNvPr id="131" name="Rounded Rectangle 130"/>
        <xdr:cNvSpPr/>
      </xdr:nvSpPr>
      <xdr:spPr>
        <a:xfrm>
          <a:off x="10367688" y="6667500"/>
          <a:ext cx="2071009" cy="94161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Yêu</a:t>
          </a:r>
          <a:r>
            <a:rPr lang="en-US" sz="2400" baseline="0"/>
            <a:t> cầu đặt hàng</a:t>
          </a:r>
          <a:endParaRPr lang="en-US" sz="2400"/>
        </a:p>
      </xdr:txBody>
    </xdr:sp>
    <xdr:clientData/>
  </xdr:twoCellAnchor>
  <xdr:twoCellAnchor>
    <xdr:from>
      <xdr:col>30</xdr:col>
      <xdr:colOff>408214</xdr:colOff>
      <xdr:row>32</xdr:row>
      <xdr:rowOff>130897</xdr:rowOff>
    </xdr:from>
    <xdr:to>
      <xdr:col>32</xdr:col>
      <xdr:colOff>567171</xdr:colOff>
      <xdr:row>32</xdr:row>
      <xdr:rowOff>137426</xdr:rowOff>
    </xdr:to>
    <xdr:cxnSp macro="">
      <xdr:nvCxnSpPr>
        <xdr:cNvPr id="148" name="Straight Arrow Connector 147"/>
        <xdr:cNvCxnSpPr>
          <a:stCxn id="122" idx="1"/>
          <a:endCxn id="124" idx="3"/>
        </xdr:cNvCxnSpPr>
      </xdr:nvCxnSpPr>
      <xdr:spPr>
        <a:xfrm flipH="1">
          <a:off x="18777857" y="6240504"/>
          <a:ext cx="1383600" cy="6529"/>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235959</xdr:colOff>
      <xdr:row>17</xdr:row>
      <xdr:rowOff>122458</xdr:rowOff>
    </xdr:from>
    <xdr:to>
      <xdr:col>35</xdr:col>
      <xdr:colOff>235960</xdr:colOff>
      <xdr:row>27</xdr:row>
      <xdr:rowOff>148719</xdr:rowOff>
    </xdr:to>
    <xdr:cxnSp macro="">
      <xdr:nvCxnSpPr>
        <xdr:cNvPr id="159" name="Straight Arrow Connector 158"/>
        <xdr:cNvCxnSpPr>
          <a:stCxn id="30" idx="2"/>
          <a:endCxn id="122" idx="0"/>
        </xdr:cNvCxnSpPr>
      </xdr:nvCxnSpPr>
      <xdr:spPr>
        <a:xfrm>
          <a:off x="21667209" y="3374565"/>
          <a:ext cx="1" cy="1931261"/>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553097</xdr:colOff>
      <xdr:row>24</xdr:row>
      <xdr:rowOff>187365</xdr:rowOff>
    </xdr:from>
    <xdr:to>
      <xdr:col>20</xdr:col>
      <xdr:colOff>209716</xdr:colOff>
      <xdr:row>30</xdr:row>
      <xdr:rowOff>187365</xdr:rowOff>
    </xdr:to>
    <xdr:sp macro="" textlink="">
      <xdr:nvSpPr>
        <xdr:cNvPr id="166" name="Rounded Rectangle 165"/>
        <xdr:cNvSpPr/>
      </xdr:nvSpPr>
      <xdr:spPr>
        <a:xfrm>
          <a:off x="10350240" y="4772972"/>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Đề</a:t>
          </a:r>
          <a:r>
            <a:rPr lang="en-US" sz="2400" baseline="0"/>
            <a:t> nghị xuất kho</a:t>
          </a:r>
          <a:endParaRPr lang="en-US" sz="2400"/>
        </a:p>
      </xdr:txBody>
    </xdr:sp>
    <xdr:clientData/>
  </xdr:twoCellAnchor>
  <xdr:twoCellAnchor>
    <xdr:from>
      <xdr:col>13</xdr:col>
      <xdr:colOff>277751</xdr:colOff>
      <xdr:row>27</xdr:row>
      <xdr:rowOff>187365</xdr:rowOff>
    </xdr:from>
    <xdr:to>
      <xdr:col>16</xdr:col>
      <xdr:colOff>553097</xdr:colOff>
      <xdr:row>27</xdr:row>
      <xdr:rowOff>187365</xdr:rowOff>
    </xdr:to>
    <xdr:cxnSp macro="">
      <xdr:nvCxnSpPr>
        <xdr:cNvPr id="202" name="Straight Arrow Connector 201"/>
        <xdr:cNvCxnSpPr>
          <a:stCxn id="166" idx="1"/>
          <a:endCxn id="203" idx="3"/>
        </xdr:cNvCxnSpPr>
      </xdr:nvCxnSpPr>
      <xdr:spPr>
        <a:xfrm flipH="1">
          <a:off x="8237930" y="5344472"/>
          <a:ext cx="2112310" cy="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8811</xdr:colOff>
      <xdr:row>24</xdr:row>
      <xdr:rowOff>187365</xdr:rowOff>
    </xdr:from>
    <xdr:to>
      <xdr:col>13</xdr:col>
      <xdr:colOff>277751</xdr:colOff>
      <xdr:row>30</xdr:row>
      <xdr:rowOff>187365</xdr:rowOff>
    </xdr:to>
    <xdr:sp macro="" textlink="">
      <xdr:nvSpPr>
        <xdr:cNvPr id="203" name="Rounded Rectangle 202"/>
        <xdr:cNvSpPr/>
      </xdr:nvSpPr>
      <xdr:spPr>
        <a:xfrm>
          <a:off x="6132025" y="4772972"/>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13</xdr:col>
      <xdr:colOff>280473</xdr:colOff>
      <xdr:row>37</xdr:row>
      <xdr:rowOff>67620</xdr:rowOff>
    </xdr:from>
    <xdr:to>
      <xdr:col>16</xdr:col>
      <xdr:colOff>570545</xdr:colOff>
      <xdr:row>37</xdr:row>
      <xdr:rowOff>76200</xdr:rowOff>
    </xdr:to>
    <xdr:cxnSp macro="">
      <xdr:nvCxnSpPr>
        <xdr:cNvPr id="204" name="Straight Arrow Connector 203"/>
        <xdr:cNvCxnSpPr>
          <a:stCxn id="131" idx="1"/>
          <a:endCxn id="205" idx="3"/>
        </xdr:cNvCxnSpPr>
      </xdr:nvCxnSpPr>
      <xdr:spPr>
        <a:xfrm flipH="1" flipV="1">
          <a:off x="8240652" y="7129727"/>
          <a:ext cx="2127036" cy="8580"/>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11533</xdr:colOff>
      <xdr:row>34</xdr:row>
      <xdr:rowOff>67620</xdr:rowOff>
    </xdr:from>
    <xdr:to>
      <xdr:col>13</xdr:col>
      <xdr:colOff>280473</xdr:colOff>
      <xdr:row>40</xdr:row>
      <xdr:rowOff>67620</xdr:rowOff>
    </xdr:to>
    <xdr:sp macro="" textlink="">
      <xdr:nvSpPr>
        <xdr:cNvPr id="205" name="Rounded Rectangle 204"/>
        <xdr:cNvSpPr/>
      </xdr:nvSpPr>
      <xdr:spPr>
        <a:xfrm>
          <a:off x="6134747" y="6558227"/>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baseline="0"/>
            <a:t>Đơn đặt hàng</a:t>
          </a:r>
          <a:endParaRPr lang="en-US" sz="2400"/>
        </a:p>
      </xdr:txBody>
    </xdr:sp>
    <xdr:clientData/>
  </xdr:twoCellAnchor>
  <xdr:twoCellAnchor>
    <xdr:from>
      <xdr:col>8</xdr:col>
      <xdr:colOff>528131</xdr:colOff>
      <xdr:row>37</xdr:row>
      <xdr:rowOff>67620</xdr:rowOff>
    </xdr:from>
    <xdr:to>
      <xdr:col>10</xdr:col>
      <xdr:colOff>11533</xdr:colOff>
      <xdr:row>37</xdr:row>
      <xdr:rowOff>70343</xdr:rowOff>
    </xdr:to>
    <xdr:cxnSp macro="">
      <xdr:nvCxnSpPr>
        <xdr:cNvPr id="206" name="Straight Arrow Connector 205"/>
        <xdr:cNvCxnSpPr>
          <a:stCxn id="205" idx="1"/>
          <a:endCxn id="207" idx="3"/>
        </xdr:cNvCxnSpPr>
      </xdr:nvCxnSpPr>
      <xdr:spPr>
        <a:xfrm flipH="1">
          <a:off x="5426702" y="7129727"/>
          <a:ext cx="708045" cy="2723"/>
        </a:xfrm>
        <a:prstGeom prst="straightConnector1">
          <a:avLst/>
        </a:prstGeom>
        <a:ln w="38100">
          <a:tailEnd type="triangle" w="lg" len="lg"/>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259190</xdr:colOff>
      <xdr:row>34</xdr:row>
      <xdr:rowOff>70343</xdr:rowOff>
    </xdr:from>
    <xdr:to>
      <xdr:col>8</xdr:col>
      <xdr:colOff>528131</xdr:colOff>
      <xdr:row>40</xdr:row>
      <xdr:rowOff>70343</xdr:rowOff>
    </xdr:to>
    <xdr:sp macro="" textlink="">
      <xdr:nvSpPr>
        <xdr:cNvPr id="207" name="Rounded Rectangle 206"/>
        <xdr:cNvSpPr/>
      </xdr:nvSpPr>
      <xdr:spPr>
        <a:xfrm>
          <a:off x="3320797" y="6560950"/>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baseline="0"/>
            <a:t>Phiếu nhập kho</a:t>
          </a:r>
          <a:endParaRPr lang="en-US" sz="2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7</xdr:col>
      <xdr:colOff>108857</xdr:colOff>
      <xdr:row>2</xdr:row>
      <xdr:rowOff>163274</xdr:rowOff>
    </xdr:to>
    <xdr:sp macro="" textlink="">
      <xdr:nvSpPr>
        <xdr:cNvPr id="287" name="Rectangle 286"/>
        <xdr:cNvSpPr/>
      </xdr:nvSpPr>
      <xdr:spPr>
        <a:xfrm>
          <a:off x="176892" y="136060"/>
          <a:ext cx="4218215"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 - SX</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40</xdr:col>
      <xdr:colOff>173183</xdr:colOff>
      <xdr:row>34</xdr:row>
      <xdr:rowOff>136379</xdr:rowOff>
    </xdr:from>
    <xdr:to>
      <xdr:col>49</xdr:col>
      <xdr:colOff>277092</xdr:colOff>
      <xdr:row>76</xdr:row>
      <xdr:rowOff>188334</xdr:rowOff>
    </xdr:to>
    <xdr:sp macro="" textlink="">
      <xdr:nvSpPr>
        <xdr:cNvPr id="155" name="Rounded Rectangle 154"/>
        <xdr:cNvSpPr/>
      </xdr:nvSpPr>
      <xdr:spPr>
        <a:xfrm>
          <a:off x="24938183" y="6232379"/>
          <a:ext cx="5676034"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6</xdr:col>
      <xdr:colOff>15135</xdr:colOff>
      <xdr:row>25</xdr:row>
      <xdr:rowOff>179677</xdr:rowOff>
    </xdr:from>
    <xdr:to>
      <xdr:col>12</xdr:col>
      <xdr:colOff>524744</xdr:colOff>
      <xdr:row>57</xdr:row>
      <xdr:rowOff>141563</xdr:rowOff>
    </xdr:to>
    <xdr:cxnSp macro="">
      <xdr:nvCxnSpPr>
        <xdr:cNvPr id="532" name="Straight Arrow Connector 531"/>
        <xdr:cNvCxnSpPr>
          <a:stCxn id="528" idx="0"/>
          <a:endCxn id="100" idx="3"/>
        </xdr:cNvCxnSpPr>
      </xdr:nvCxnSpPr>
      <xdr:spPr>
        <a:xfrm flipH="1" flipV="1">
          <a:off x="3729885" y="4561177"/>
          <a:ext cx="4224359" cy="6057886"/>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xdr:col>
      <xdr:colOff>15135</xdr:colOff>
      <xdr:row>13</xdr:row>
      <xdr:rowOff>47651</xdr:rowOff>
    </xdr:from>
    <xdr:to>
      <xdr:col>32</xdr:col>
      <xdr:colOff>7944</xdr:colOff>
      <xdr:row>25</xdr:row>
      <xdr:rowOff>179677</xdr:rowOff>
    </xdr:to>
    <xdr:cxnSp macro="">
      <xdr:nvCxnSpPr>
        <xdr:cNvPr id="428" name="Straight Arrow Connector 427"/>
        <xdr:cNvCxnSpPr>
          <a:stCxn id="100" idx="3"/>
          <a:endCxn id="28" idx="1"/>
        </xdr:cNvCxnSpPr>
      </xdr:nvCxnSpPr>
      <xdr:spPr>
        <a:xfrm flipV="1">
          <a:off x="3729885" y="2143151"/>
          <a:ext cx="16090059" cy="241802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12</xdr:row>
      <xdr:rowOff>1300</xdr:rowOff>
    </xdr:from>
    <xdr:to>
      <xdr:col>4</xdr:col>
      <xdr:colOff>600875</xdr:colOff>
      <xdr:row>12</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3</xdr:row>
      <xdr:rowOff>86593</xdr:rowOff>
    </xdr:from>
    <xdr:to>
      <xdr:col>6</xdr:col>
      <xdr:colOff>407906</xdr:colOff>
      <xdr:row>5</xdr:row>
      <xdr:rowOff>86593</xdr:rowOff>
    </xdr:to>
    <xdr:sp macro="" textlink="">
      <xdr:nvSpPr>
        <xdr:cNvPr id="7" name="Rectangle 6"/>
        <xdr:cNvSpPr/>
      </xdr:nvSpPr>
      <xdr:spPr>
        <a:xfrm>
          <a:off x="299049" y="277093"/>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6</xdr:row>
      <xdr:rowOff>164748</xdr:rowOff>
    </xdr:from>
    <xdr:to>
      <xdr:col>3</xdr:col>
      <xdr:colOff>410070</xdr:colOff>
      <xdr:row>17</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14</xdr:col>
      <xdr:colOff>493562</xdr:colOff>
      <xdr:row>10</xdr:row>
      <xdr:rowOff>9033</xdr:rowOff>
    </xdr:from>
    <xdr:to>
      <xdr:col>17</xdr:col>
      <xdr:colOff>542132</xdr:colOff>
      <xdr:row>15</xdr:row>
      <xdr:rowOff>15154</xdr:rowOff>
    </xdr:to>
    <xdr:sp macro="" textlink="">
      <xdr:nvSpPr>
        <xdr:cNvPr id="9" name="SHAPE_06"/>
        <xdr:cNvSpPr/>
      </xdr:nvSpPr>
      <xdr:spPr>
        <a:xfrm>
          <a:off x="8979471" y="1533033"/>
          <a:ext cx="1866979"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22</xdr:col>
      <xdr:colOff>307080</xdr:colOff>
      <xdr:row>8</xdr:row>
      <xdr:rowOff>0</xdr:rowOff>
    </xdr:from>
    <xdr:to>
      <xdr:col>26</xdr:col>
      <xdr:colOff>536864</xdr:colOff>
      <xdr:row>16</xdr:row>
      <xdr:rowOff>49791</xdr:rowOff>
    </xdr:to>
    <xdr:sp macro="" textlink="">
      <xdr:nvSpPr>
        <xdr:cNvPr id="10" name="SHAPE_07"/>
        <xdr:cNvSpPr/>
      </xdr:nvSpPr>
      <xdr:spPr>
        <a:xfrm>
          <a:off x="13642080" y="1143000"/>
          <a:ext cx="2654329" cy="157379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Lệnh</a:t>
          </a:r>
          <a:r>
            <a:rPr lang="en-US" sz="1600" baseline="0"/>
            <a:t> có </a:t>
          </a:r>
          <a:r>
            <a:rPr lang="en-US" sz="1600"/>
            <a:t>ĐỦ chi tiết</a:t>
          </a:r>
          <a:r>
            <a:rPr lang="en-US" sz="1600" baseline="0"/>
            <a:t> 100%</a:t>
          </a:r>
          <a:endParaRPr lang="en-US" sz="1600"/>
        </a:p>
      </xdr:txBody>
    </xdr:sp>
    <xdr:clientData/>
  </xdr:twoCellAnchor>
  <xdr:twoCellAnchor>
    <xdr:from>
      <xdr:col>27</xdr:col>
      <xdr:colOff>190482</xdr:colOff>
      <xdr:row>11</xdr:row>
      <xdr:rowOff>112569</xdr:rowOff>
    </xdr:from>
    <xdr:to>
      <xdr:col>28</xdr:col>
      <xdr:colOff>225120</xdr:colOff>
      <xdr:row>13</xdr:row>
      <xdr:rowOff>93519</xdr:rowOff>
    </xdr:to>
    <xdr:sp macro="" textlink="">
      <xdr:nvSpPr>
        <xdr:cNvPr id="11" name="SHAPE_08"/>
        <xdr:cNvSpPr/>
      </xdr:nvSpPr>
      <xdr:spPr>
        <a:xfrm>
          <a:off x="16556164" y="1827069"/>
          <a:ext cx="640774"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13</xdr:col>
      <xdr:colOff>217007</xdr:colOff>
      <xdr:row>17</xdr:row>
      <xdr:rowOff>190181</xdr:rowOff>
    </xdr:from>
    <xdr:to>
      <xdr:col>14</xdr:col>
      <xdr:colOff>189104</xdr:colOff>
      <xdr:row>19</xdr:row>
      <xdr:rowOff>146440</xdr:rowOff>
    </xdr:to>
    <xdr:sp macro="" textlink="">
      <xdr:nvSpPr>
        <xdr:cNvPr id="12" name="SHAPE_10"/>
        <xdr:cNvSpPr/>
      </xdr:nvSpPr>
      <xdr:spPr>
        <a:xfrm>
          <a:off x="8096780" y="3047681"/>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28</xdr:row>
      <xdr:rowOff>119063</xdr:rowOff>
    </xdr:from>
    <xdr:to>
      <xdr:col>3</xdr:col>
      <xdr:colOff>168835</xdr:colOff>
      <xdr:row>31</xdr:row>
      <xdr:rowOff>45891</xdr:rowOff>
    </xdr:to>
    <xdr:cxnSp macro="">
      <xdr:nvCxnSpPr>
        <xdr:cNvPr id="13" name="Straight Arrow Connector 12"/>
        <xdr:cNvCxnSpPr>
          <a:stCxn id="100" idx="2"/>
          <a:endCxn id="70" idx="0"/>
        </xdr:cNvCxnSpPr>
      </xdr:nvCxnSpPr>
      <xdr:spPr>
        <a:xfrm flipH="1">
          <a:off x="913534" y="5072063"/>
          <a:ext cx="1112676" cy="49832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478840</xdr:colOff>
      <xdr:row>4</xdr:row>
      <xdr:rowOff>57710</xdr:rowOff>
    </xdr:from>
    <xdr:to>
      <xdr:col>18</xdr:col>
      <xdr:colOff>204754</xdr:colOff>
      <xdr:row>4</xdr:row>
      <xdr:rowOff>80747</xdr:rowOff>
    </xdr:to>
    <xdr:cxnSp macro="">
      <xdr:nvCxnSpPr>
        <xdr:cNvPr id="14" name="Straight Arrow Connector 13"/>
        <xdr:cNvCxnSpPr>
          <a:stCxn id="83" idx="3"/>
          <a:endCxn id="18" idx="1"/>
        </xdr:cNvCxnSpPr>
      </xdr:nvCxnSpPr>
      <xdr:spPr>
        <a:xfrm flipV="1">
          <a:off x="10783158" y="819710"/>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536864</xdr:colOff>
      <xdr:row>12</xdr:row>
      <xdr:rowOff>24896</xdr:rowOff>
    </xdr:from>
    <xdr:to>
      <xdr:col>27</xdr:col>
      <xdr:colOff>190482</xdr:colOff>
      <xdr:row>12</xdr:row>
      <xdr:rowOff>103044</xdr:rowOff>
    </xdr:to>
    <xdr:cxnSp macro="">
      <xdr:nvCxnSpPr>
        <xdr:cNvPr id="15" name="Straight Arrow Connector 14"/>
        <xdr:cNvCxnSpPr>
          <a:stCxn id="10" idx="3"/>
          <a:endCxn id="11" idx="1"/>
        </xdr:cNvCxnSpPr>
      </xdr:nvCxnSpPr>
      <xdr:spPr>
        <a:xfrm>
          <a:off x="16296409" y="1929896"/>
          <a:ext cx="259755" cy="781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189104</xdr:colOff>
      <xdr:row>16</xdr:row>
      <xdr:rowOff>49791</xdr:rowOff>
    </xdr:from>
    <xdr:to>
      <xdr:col>24</xdr:col>
      <xdr:colOff>421972</xdr:colOff>
      <xdr:row>18</xdr:row>
      <xdr:rowOff>168311</xdr:rowOff>
    </xdr:to>
    <xdr:cxnSp macro="">
      <xdr:nvCxnSpPr>
        <xdr:cNvPr id="16" name="Straight Arrow Connector 15"/>
        <xdr:cNvCxnSpPr>
          <a:stCxn id="10" idx="2"/>
          <a:endCxn id="12" idx="3"/>
        </xdr:cNvCxnSpPr>
      </xdr:nvCxnSpPr>
      <xdr:spPr>
        <a:xfrm flipH="1">
          <a:off x="8675013" y="2716791"/>
          <a:ext cx="6294232" cy="49952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204754</xdr:colOff>
      <xdr:row>1</xdr:row>
      <xdr:rowOff>186855</xdr:rowOff>
    </xdr:from>
    <xdr:to>
      <xdr:col>23</xdr:col>
      <xdr:colOff>8649</xdr:colOff>
      <xdr:row>6</xdr:row>
      <xdr:rowOff>119064</xdr:rowOff>
    </xdr:to>
    <xdr:sp macro="" textlink="">
      <xdr:nvSpPr>
        <xdr:cNvPr id="18" name="SHAPE_04"/>
        <xdr:cNvSpPr/>
      </xdr:nvSpPr>
      <xdr:spPr>
        <a:xfrm>
          <a:off x="11115209" y="377355"/>
          <a:ext cx="2834576"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28</xdr:col>
      <xdr:colOff>225120</xdr:colOff>
      <xdr:row>12</xdr:row>
      <xdr:rowOff>103044</xdr:rowOff>
    </xdr:from>
    <xdr:to>
      <xdr:col>32</xdr:col>
      <xdr:colOff>7944</xdr:colOff>
      <xdr:row>13</xdr:row>
      <xdr:rowOff>47651</xdr:rowOff>
    </xdr:to>
    <xdr:cxnSp macro="">
      <xdr:nvCxnSpPr>
        <xdr:cNvPr id="19" name="Straight Arrow Connector 18"/>
        <xdr:cNvCxnSpPr>
          <a:stCxn id="11" idx="3"/>
          <a:endCxn id="28" idx="1"/>
        </xdr:cNvCxnSpPr>
      </xdr:nvCxnSpPr>
      <xdr:spPr>
        <a:xfrm>
          <a:off x="17196938" y="2008044"/>
          <a:ext cx="2207370" cy="1351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542132</xdr:colOff>
      <xdr:row>12</xdr:row>
      <xdr:rowOff>57801</xdr:rowOff>
    </xdr:from>
    <xdr:to>
      <xdr:col>18</xdr:col>
      <xdr:colOff>294410</xdr:colOff>
      <xdr:row>12</xdr:row>
      <xdr:rowOff>107344</xdr:rowOff>
    </xdr:to>
    <xdr:cxnSp macro="">
      <xdr:nvCxnSpPr>
        <xdr:cNvPr id="20" name="Straight Arrow Connector 19"/>
        <xdr:cNvCxnSpPr>
          <a:stCxn id="9" idx="3"/>
          <a:endCxn id="103" idx="1"/>
        </xdr:cNvCxnSpPr>
      </xdr:nvCxnSpPr>
      <xdr:spPr>
        <a:xfrm flipV="1">
          <a:off x="10846450" y="1962801"/>
          <a:ext cx="358415" cy="4954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52</xdr:row>
      <xdr:rowOff>12129</xdr:rowOff>
    </xdr:from>
    <xdr:to>
      <xdr:col>45</xdr:col>
      <xdr:colOff>241188</xdr:colOff>
      <xdr:row>52</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55</xdr:row>
      <xdr:rowOff>110850</xdr:rowOff>
    </xdr:from>
    <xdr:to>
      <xdr:col>46</xdr:col>
      <xdr:colOff>596211</xdr:colOff>
      <xdr:row>57</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61</xdr:row>
      <xdr:rowOff>95814</xdr:rowOff>
    </xdr:from>
    <xdr:to>
      <xdr:col>45</xdr:col>
      <xdr:colOff>274322</xdr:colOff>
      <xdr:row>61</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597461</xdr:colOff>
      <xdr:row>31</xdr:row>
      <xdr:rowOff>54132</xdr:rowOff>
    </xdr:from>
    <xdr:to>
      <xdr:col>23</xdr:col>
      <xdr:colOff>565733</xdr:colOff>
      <xdr:row>36</xdr:row>
      <xdr:rowOff>54132</xdr:rowOff>
    </xdr:to>
    <xdr:sp macro="" textlink="">
      <xdr:nvSpPr>
        <xdr:cNvPr id="32" name="SHAPE_22"/>
        <xdr:cNvSpPr/>
      </xdr:nvSpPr>
      <xdr:spPr>
        <a:xfrm>
          <a:off x="12979961" y="5578632"/>
          <a:ext cx="1825647"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24</xdr:col>
      <xdr:colOff>134201</xdr:colOff>
      <xdr:row>28</xdr:row>
      <xdr:rowOff>150449</xdr:rowOff>
    </xdr:from>
    <xdr:to>
      <xdr:col>27</xdr:col>
      <xdr:colOff>605256</xdr:colOff>
      <xdr:row>38</xdr:row>
      <xdr:rowOff>153250</xdr:rowOff>
    </xdr:to>
    <xdr:sp macro="" textlink="">
      <xdr:nvSpPr>
        <xdr:cNvPr id="33" name="SHAPE_23"/>
        <xdr:cNvSpPr/>
      </xdr:nvSpPr>
      <xdr:spPr>
        <a:xfrm>
          <a:off x="14993201" y="5103449"/>
          <a:ext cx="232843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28</xdr:col>
      <xdr:colOff>251094</xdr:colOff>
      <xdr:row>32</xdr:row>
      <xdr:rowOff>161374</xdr:rowOff>
    </xdr:from>
    <xdr:to>
      <xdr:col>29</xdr:col>
      <xdr:colOff>298719</xdr:colOff>
      <xdr:row>34</xdr:row>
      <xdr:rowOff>142324</xdr:rowOff>
    </xdr:to>
    <xdr:sp macro="" textlink="">
      <xdr:nvSpPr>
        <xdr:cNvPr id="34" name="SHAPE_24"/>
        <xdr:cNvSpPr/>
      </xdr:nvSpPr>
      <xdr:spPr>
        <a:xfrm>
          <a:off x="17586594" y="5876374"/>
          <a:ext cx="666750"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23</xdr:col>
      <xdr:colOff>565733</xdr:colOff>
      <xdr:row>33</xdr:row>
      <xdr:rowOff>149382</xdr:rowOff>
    </xdr:from>
    <xdr:to>
      <xdr:col>24</xdr:col>
      <xdr:colOff>134201</xdr:colOff>
      <xdr:row>33</xdr:row>
      <xdr:rowOff>151850</xdr:rowOff>
    </xdr:to>
    <xdr:cxnSp macro="">
      <xdr:nvCxnSpPr>
        <xdr:cNvPr id="35" name="Straight Arrow Connector 34"/>
        <xdr:cNvCxnSpPr>
          <a:stCxn id="32" idx="3"/>
          <a:endCxn id="33" idx="1"/>
        </xdr:cNvCxnSpPr>
      </xdr:nvCxnSpPr>
      <xdr:spPr>
        <a:xfrm>
          <a:off x="14805608" y="6054882"/>
          <a:ext cx="187593" cy="24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605256</xdr:colOff>
      <xdr:row>33</xdr:row>
      <xdr:rowOff>151849</xdr:rowOff>
    </xdr:from>
    <xdr:to>
      <xdr:col>28</xdr:col>
      <xdr:colOff>251094</xdr:colOff>
      <xdr:row>33</xdr:row>
      <xdr:rowOff>151850</xdr:rowOff>
    </xdr:to>
    <xdr:cxnSp macro="">
      <xdr:nvCxnSpPr>
        <xdr:cNvPr id="36" name="Straight Arrow Connector 35"/>
        <xdr:cNvCxnSpPr>
          <a:stCxn id="33" idx="3"/>
          <a:endCxn id="34" idx="1"/>
        </xdr:cNvCxnSpPr>
      </xdr:nvCxnSpPr>
      <xdr:spPr>
        <a:xfrm flipV="1">
          <a:off x="17321631" y="6057349"/>
          <a:ext cx="26496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298719</xdr:colOff>
      <xdr:row>33</xdr:row>
      <xdr:rowOff>151849</xdr:rowOff>
    </xdr:from>
    <xdr:to>
      <xdr:col>32</xdr:col>
      <xdr:colOff>346363</xdr:colOff>
      <xdr:row>48</xdr:row>
      <xdr:rowOff>86875</xdr:rowOff>
    </xdr:to>
    <xdr:cxnSp macro="">
      <xdr:nvCxnSpPr>
        <xdr:cNvPr id="37" name="Straight Arrow Connector 36"/>
        <xdr:cNvCxnSpPr>
          <a:stCxn id="34" idx="3"/>
          <a:endCxn id="39" idx="1"/>
        </xdr:cNvCxnSpPr>
      </xdr:nvCxnSpPr>
      <xdr:spPr>
        <a:xfrm>
          <a:off x="18253344" y="6057349"/>
          <a:ext cx="1905019" cy="27925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42</xdr:row>
      <xdr:rowOff>111419</xdr:rowOff>
    </xdr:from>
    <xdr:to>
      <xdr:col>40</xdr:col>
      <xdr:colOff>372376</xdr:colOff>
      <xdr:row>48</xdr:row>
      <xdr:rowOff>86875</xdr:rowOff>
    </xdr:to>
    <xdr:cxnSp macro="">
      <xdr:nvCxnSpPr>
        <xdr:cNvPr id="38" name="Straight Arrow Connector 37"/>
        <xdr:cNvCxnSpPr>
          <a:stCxn id="39" idx="3"/>
          <a:endCxn id="79" idx="1"/>
        </xdr:cNvCxnSpPr>
      </xdr:nvCxnSpPr>
      <xdr:spPr>
        <a:xfrm flipV="1">
          <a:off x="23147016" y="7731419"/>
          <a:ext cx="1990360" cy="11184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40</xdr:row>
      <xdr:rowOff>158024</xdr:rowOff>
    </xdr:from>
    <xdr:to>
      <xdr:col>37</xdr:col>
      <xdr:colOff>239391</xdr:colOff>
      <xdr:row>56</xdr:row>
      <xdr:rowOff>15726</xdr:rowOff>
    </xdr:to>
    <xdr:sp macro="" textlink="">
      <xdr:nvSpPr>
        <xdr:cNvPr id="39" name="SHAPE_25"/>
        <xdr:cNvSpPr>
          <a:spLocks noChangeAspect="1"/>
        </xdr:cNvSpPr>
      </xdr:nvSpPr>
      <xdr:spPr>
        <a:xfrm>
          <a:off x="20158363" y="7397024"/>
          <a:ext cx="2988653"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65</xdr:row>
      <xdr:rowOff>61178</xdr:rowOff>
    </xdr:from>
    <xdr:to>
      <xdr:col>42</xdr:col>
      <xdr:colOff>462396</xdr:colOff>
      <xdr:row>67</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342020</xdr:colOff>
      <xdr:row>23</xdr:row>
      <xdr:rowOff>140725</xdr:rowOff>
    </xdr:from>
    <xdr:to>
      <xdr:col>23</xdr:col>
      <xdr:colOff>134202</xdr:colOff>
      <xdr:row>30</xdr:row>
      <xdr:rowOff>2180</xdr:rowOff>
    </xdr:to>
    <xdr:sp macro="" textlink="">
      <xdr:nvSpPr>
        <xdr:cNvPr id="42" name="SHAPE_20"/>
        <xdr:cNvSpPr/>
      </xdr:nvSpPr>
      <xdr:spPr>
        <a:xfrm>
          <a:off x="12724520" y="4141225"/>
          <a:ext cx="1649557"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14</xdr:col>
      <xdr:colOff>374856</xdr:colOff>
      <xdr:row>31</xdr:row>
      <xdr:rowOff>186487</xdr:rowOff>
    </xdr:from>
    <xdr:to>
      <xdr:col>17</xdr:col>
      <xdr:colOff>369751</xdr:colOff>
      <xdr:row>34</xdr:row>
      <xdr:rowOff>35489</xdr:rowOff>
    </xdr:to>
    <xdr:cxnSp macro="">
      <xdr:nvCxnSpPr>
        <xdr:cNvPr id="43" name="Straight Arrow Connector 42"/>
        <xdr:cNvCxnSpPr>
          <a:stCxn id="81" idx="3"/>
          <a:endCxn id="157" idx="1"/>
        </xdr:cNvCxnSpPr>
      </xdr:nvCxnSpPr>
      <xdr:spPr>
        <a:xfrm>
          <a:off x="9042606" y="5710987"/>
          <a:ext cx="1852270" cy="4205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71</xdr:row>
      <xdr:rowOff>103913</xdr:rowOff>
    </xdr:from>
    <xdr:to>
      <xdr:col>45</xdr:col>
      <xdr:colOff>160285</xdr:colOff>
      <xdr:row>71</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13</xdr:row>
      <xdr:rowOff>47651</xdr:rowOff>
    </xdr:from>
    <xdr:to>
      <xdr:col>42</xdr:col>
      <xdr:colOff>428643</xdr:colOff>
      <xdr:row>38</xdr:row>
      <xdr:rowOff>153564</xdr:rowOff>
    </xdr:to>
    <xdr:cxnSp macro="">
      <xdr:nvCxnSpPr>
        <xdr:cNvPr id="47" name="Straight Arrow Connector 46"/>
        <xdr:cNvCxnSpPr>
          <a:stCxn id="28" idx="3"/>
          <a:endCxn id="79" idx="0"/>
        </xdr:cNvCxnSpPr>
      </xdr:nvCxnSpPr>
      <xdr:spPr>
        <a:xfrm>
          <a:off x="22323135" y="2143151"/>
          <a:ext cx="3563235" cy="48684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290654</xdr:colOff>
      <xdr:row>46</xdr:row>
      <xdr:rowOff>544</xdr:rowOff>
    </xdr:from>
    <xdr:to>
      <xdr:col>12</xdr:col>
      <xdr:colOff>262751</xdr:colOff>
      <xdr:row>47</xdr:row>
      <xdr:rowOff>147303</xdr:rowOff>
    </xdr:to>
    <xdr:sp macro="" textlink="">
      <xdr:nvSpPr>
        <xdr:cNvPr id="48" name="SHAPE_26"/>
        <xdr:cNvSpPr/>
      </xdr:nvSpPr>
      <xdr:spPr>
        <a:xfrm>
          <a:off x="7101029" y="8382544"/>
          <a:ext cx="591222"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12</xdr:col>
      <xdr:colOff>262751</xdr:colOff>
      <xdr:row>38</xdr:row>
      <xdr:rowOff>153250</xdr:rowOff>
    </xdr:from>
    <xdr:to>
      <xdr:col>26</xdr:col>
      <xdr:colOff>60166</xdr:colOff>
      <xdr:row>46</xdr:row>
      <xdr:rowOff>169174</xdr:rowOff>
    </xdr:to>
    <xdr:cxnSp macro="">
      <xdr:nvCxnSpPr>
        <xdr:cNvPr id="49" name="Straight Arrow Connector 48"/>
        <xdr:cNvCxnSpPr>
          <a:stCxn id="33" idx="2"/>
          <a:endCxn id="48" idx="3"/>
        </xdr:cNvCxnSpPr>
      </xdr:nvCxnSpPr>
      <xdr:spPr>
        <a:xfrm flipH="1">
          <a:off x="7692251" y="7011250"/>
          <a:ext cx="8465165" cy="153992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436750</xdr:colOff>
      <xdr:row>53</xdr:row>
      <xdr:rowOff>160183</xdr:rowOff>
    </xdr:from>
    <xdr:to>
      <xdr:col>6</xdr:col>
      <xdr:colOff>450703</xdr:colOff>
      <xdr:row>58</xdr:row>
      <xdr:rowOff>112122</xdr:rowOff>
    </xdr:to>
    <xdr:cxnSp macro="">
      <xdr:nvCxnSpPr>
        <xdr:cNvPr id="51" name="Straight Arrow Connector 50"/>
        <xdr:cNvCxnSpPr>
          <a:stCxn id="99" idx="2"/>
          <a:endCxn id="57" idx="0"/>
        </xdr:cNvCxnSpPr>
      </xdr:nvCxnSpPr>
      <xdr:spPr>
        <a:xfrm flipH="1">
          <a:off x="4151500" y="9875683"/>
          <a:ext cx="13953" cy="90443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67</xdr:row>
      <xdr:rowOff>41860</xdr:rowOff>
    </xdr:from>
    <xdr:to>
      <xdr:col>5</xdr:col>
      <xdr:colOff>186537</xdr:colOff>
      <xdr:row>76</xdr:row>
      <xdr:rowOff>90393</xdr:rowOff>
    </xdr:to>
    <xdr:sp macro="" textlink="">
      <xdr:nvSpPr>
        <xdr:cNvPr id="53" name="SHAPE_15"/>
        <xdr:cNvSpPr>
          <a:spLocks noChangeAspect="1"/>
        </xdr:cNvSpPr>
      </xdr:nvSpPr>
      <xdr:spPr>
        <a:xfrm>
          <a:off x="1481935" y="12424360"/>
          <a:ext cx="1800227"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524674</xdr:colOff>
      <xdr:row>64</xdr:row>
      <xdr:rowOff>93076</xdr:rowOff>
    </xdr:from>
    <xdr:to>
      <xdr:col>6</xdr:col>
      <xdr:colOff>436750</xdr:colOff>
      <xdr:row>67</xdr:row>
      <xdr:rowOff>41860</xdr:rowOff>
    </xdr:to>
    <xdr:cxnSp macro="">
      <xdr:nvCxnSpPr>
        <xdr:cNvPr id="54" name="Straight Arrow Connector 53"/>
        <xdr:cNvCxnSpPr>
          <a:stCxn id="57" idx="2"/>
          <a:endCxn id="53" idx="0"/>
        </xdr:cNvCxnSpPr>
      </xdr:nvCxnSpPr>
      <xdr:spPr>
        <a:xfrm flipH="1">
          <a:off x="2382049" y="11904076"/>
          <a:ext cx="1769451" cy="52028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65872</xdr:colOff>
      <xdr:row>64</xdr:row>
      <xdr:rowOff>145029</xdr:rowOff>
    </xdr:from>
    <xdr:to>
      <xdr:col>3</xdr:col>
      <xdr:colOff>524674</xdr:colOff>
      <xdr:row>67</xdr:row>
      <xdr:rowOff>41860</xdr:rowOff>
    </xdr:to>
    <xdr:cxnSp macro="">
      <xdr:nvCxnSpPr>
        <xdr:cNvPr id="55" name="Straight Arrow Connector 54"/>
        <xdr:cNvCxnSpPr>
          <a:stCxn id="56" idx="2"/>
          <a:endCxn id="53" idx="0"/>
        </xdr:cNvCxnSpPr>
      </xdr:nvCxnSpPr>
      <xdr:spPr>
        <a:xfrm>
          <a:off x="1304122" y="11956029"/>
          <a:ext cx="1077927" cy="468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58</xdr:row>
      <xdr:rowOff>49779</xdr:rowOff>
    </xdr:from>
    <xdr:to>
      <xdr:col>3</xdr:col>
      <xdr:colOff>536864</xdr:colOff>
      <xdr:row>64</xdr:row>
      <xdr:rowOff>145029</xdr:rowOff>
    </xdr:to>
    <xdr:sp macro="" textlink="">
      <xdr:nvSpPr>
        <xdr:cNvPr id="56" name="SHAPE_14"/>
        <xdr:cNvSpPr/>
      </xdr:nvSpPr>
      <xdr:spPr>
        <a:xfrm>
          <a:off x="214004" y="10717779"/>
          <a:ext cx="2180235"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5</xdr:col>
      <xdr:colOff>14087</xdr:colOff>
      <xdr:row>58</xdr:row>
      <xdr:rowOff>112122</xdr:rowOff>
    </xdr:from>
    <xdr:to>
      <xdr:col>8</xdr:col>
      <xdr:colOff>240288</xdr:colOff>
      <xdr:row>64</xdr:row>
      <xdr:rowOff>93076</xdr:rowOff>
    </xdr:to>
    <xdr:sp macro="" textlink="">
      <xdr:nvSpPr>
        <xdr:cNvPr id="57" name="SHAPE_28"/>
        <xdr:cNvSpPr/>
      </xdr:nvSpPr>
      <xdr:spPr>
        <a:xfrm>
          <a:off x="3109712" y="10780122"/>
          <a:ext cx="2083576"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10</xdr:col>
      <xdr:colOff>502227</xdr:colOff>
      <xdr:row>70</xdr:row>
      <xdr:rowOff>75753</xdr:rowOff>
    </xdr:from>
    <xdr:to>
      <xdr:col>14</xdr:col>
      <xdr:colOff>484910</xdr:colOff>
      <xdr:row>79</xdr:row>
      <xdr:rowOff>6481</xdr:rowOff>
    </xdr:to>
    <xdr:sp macro="" textlink="">
      <xdr:nvSpPr>
        <xdr:cNvPr id="66" name="SHAPE_30"/>
        <xdr:cNvSpPr/>
      </xdr:nvSpPr>
      <xdr:spPr>
        <a:xfrm>
          <a:off x="6693477" y="1302975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12</xdr:col>
      <xdr:colOff>493569</xdr:colOff>
      <xdr:row>66</xdr:row>
      <xdr:rowOff>72291</xdr:rowOff>
    </xdr:from>
    <xdr:to>
      <xdr:col>12</xdr:col>
      <xdr:colOff>524744</xdr:colOff>
      <xdr:row>70</xdr:row>
      <xdr:rowOff>75753</xdr:rowOff>
    </xdr:to>
    <xdr:cxnSp macro="">
      <xdr:nvCxnSpPr>
        <xdr:cNvPr id="67" name="Straight Arrow Connector 66"/>
        <xdr:cNvCxnSpPr>
          <a:stCxn id="66" idx="0"/>
          <a:endCxn id="528" idx="2"/>
        </xdr:cNvCxnSpPr>
      </xdr:nvCxnSpPr>
      <xdr:spPr>
        <a:xfrm flipV="1">
          <a:off x="7923069" y="12264291"/>
          <a:ext cx="31175" cy="7654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31</xdr:row>
      <xdr:rowOff>45891</xdr:rowOff>
    </xdr:from>
    <xdr:to>
      <xdr:col>2</xdr:col>
      <xdr:colOff>536863</xdr:colOff>
      <xdr:row>42</xdr:row>
      <xdr:rowOff>28573</xdr:rowOff>
    </xdr:to>
    <xdr:sp macro="" textlink="">
      <xdr:nvSpPr>
        <xdr:cNvPr id="70" name="SHAPE_12"/>
        <xdr:cNvSpPr/>
      </xdr:nvSpPr>
      <xdr:spPr>
        <a:xfrm>
          <a:off x="51954" y="5570391"/>
          <a:ext cx="1723159"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0</xdr:col>
      <xdr:colOff>581147</xdr:colOff>
      <xdr:row>45</xdr:row>
      <xdr:rowOff>5068</xdr:rowOff>
    </xdr:from>
    <xdr:to>
      <xdr:col>2</xdr:col>
      <xdr:colOff>9646</xdr:colOff>
      <xdr:row>46</xdr:row>
      <xdr:rowOff>176518</xdr:rowOff>
    </xdr:to>
    <xdr:sp macro="" textlink="">
      <xdr:nvSpPr>
        <xdr:cNvPr id="71" name="SHAPE_13"/>
        <xdr:cNvSpPr/>
      </xdr:nvSpPr>
      <xdr:spPr>
        <a:xfrm>
          <a:off x="581147" y="8196568"/>
          <a:ext cx="666749"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294409</xdr:colOff>
      <xdr:row>42</xdr:row>
      <xdr:rowOff>28573</xdr:rowOff>
    </xdr:from>
    <xdr:to>
      <xdr:col>1</xdr:col>
      <xdr:colOff>295397</xdr:colOff>
      <xdr:row>45</xdr:row>
      <xdr:rowOff>5068</xdr:rowOff>
    </xdr:to>
    <xdr:cxnSp macro="">
      <xdr:nvCxnSpPr>
        <xdr:cNvPr id="72" name="Straight Arrow Connector 71"/>
        <xdr:cNvCxnSpPr>
          <a:stCxn id="70" idx="2"/>
          <a:endCxn id="71" idx="0"/>
        </xdr:cNvCxnSpPr>
      </xdr:nvCxnSpPr>
      <xdr:spPr>
        <a:xfrm>
          <a:off x="913534" y="7648573"/>
          <a:ext cx="988" cy="54799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295397</xdr:colOff>
      <xdr:row>46</xdr:row>
      <xdr:rowOff>176518</xdr:rowOff>
    </xdr:from>
    <xdr:to>
      <xdr:col>2</xdr:col>
      <xdr:colOff>65872</xdr:colOff>
      <xdr:row>58</xdr:row>
      <xdr:rowOff>49779</xdr:rowOff>
    </xdr:to>
    <xdr:cxnSp macro="">
      <xdr:nvCxnSpPr>
        <xdr:cNvPr id="73" name="Straight Arrow Connector 72"/>
        <xdr:cNvCxnSpPr>
          <a:stCxn id="71" idx="2"/>
          <a:endCxn id="56" idx="0"/>
        </xdr:cNvCxnSpPr>
      </xdr:nvCxnSpPr>
      <xdr:spPr>
        <a:xfrm>
          <a:off x="914522" y="8558518"/>
          <a:ext cx="389600" cy="215926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4</xdr:row>
      <xdr:rowOff>80747</xdr:rowOff>
    </xdr:from>
    <xdr:to>
      <xdr:col>13</xdr:col>
      <xdr:colOff>505682</xdr:colOff>
      <xdr:row>12</xdr:row>
      <xdr:rowOff>1301</xdr:rowOff>
    </xdr:to>
    <xdr:cxnSp macro="">
      <xdr:nvCxnSpPr>
        <xdr:cNvPr id="77" name="Straight Arrow Connector 76"/>
        <xdr:cNvCxnSpPr>
          <a:stCxn id="78" idx="3"/>
          <a:endCxn id="83" idx="1"/>
        </xdr:cNvCxnSpPr>
      </xdr:nvCxnSpPr>
      <xdr:spPr>
        <a:xfrm flipV="1">
          <a:off x="4938210" y="842747"/>
          <a:ext cx="3447245" cy="144455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6</xdr:row>
      <xdr:rowOff>187342</xdr:rowOff>
    </xdr:from>
    <xdr:to>
      <xdr:col>8</xdr:col>
      <xdr:colOff>89119</xdr:colOff>
      <xdr:row>17</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46</xdr:row>
      <xdr:rowOff>69273</xdr:rowOff>
    </xdr:from>
    <xdr:to>
      <xdr:col>42</xdr:col>
      <xdr:colOff>471055</xdr:colOff>
      <xdr:row>48</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254497</xdr:colOff>
      <xdr:row>26</xdr:row>
      <xdr:rowOff>182028</xdr:rowOff>
    </xdr:from>
    <xdr:to>
      <xdr:col>14</xdr:col>
      <xdr:colOff>374856</xdr:colOff>
      <xdr:row>37</xdr:row>
      <xdr:rowOff>445</xdr:rowOff>
    </xdr:to>
    <xdr:sp macro="" textlink="">
      <xdr:nvSpPr>
        <xdr:cNvPr id="81" name="SHAPE_18"/>
        <xdr:cNvSpPr>
          <a:spLocks noChangeAspect="1"/>
        </xdr:cNvSpPr>
      </xdr:nvSpPr>
      <xdr:spPr>
        <a:xfrm>
          <a:off x="7064872" y="4754028"/>
          <a:ext cx="197773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14</xdr:col>
      <xdr:colOff>374856</xdr:colOff>
      <xdr:row>26</xdr:row>
      <xdr:rowOff>171897</xdr:rowOff>
    </xdr:from>
    <xdr:to>
      <xdr:col>16</xdr:col>
      <xdr:colOff>406100</xdr:colOff>
      <xdr:row>31</xdr:row>
      <xdr:rowOff>186487</xdr:rowOff>
    </xdr:to>
    <xdr:cxnSp macro="">
      <xdr:nvCxnSpPr>
        <xdr:cNvPr id="82" name="Straight Arrow Connector 81"/>
        <xdr:cNvCxnSpPr>
          <a:stCxn id="81" idx="3"/>
          <a:endCxn id="85" idx="1"/>
        </xdr:cNvCxnSpPr>
      </xdr:nvCxnSpPr>
      <xdr:spPr>
        <a:xfrm flipV="1">
          <a:off x="9042606" y="4743897"/>
          <a:ext cx="1269494" cy="96709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505682</xdr:colOff>
      <xdr:row>1</xdr:row>
      <xdr:rowOff>129022</xdr:rowOff>
    </xdr:from>
    <xdr:to>
      <xdr:col>17</xdr:col>
      <xdr:colOff>478840</xdr:colOff>
      <xdr:row>7</xdr:row>
      <xdr:rowOff>32472</xdr:rowOff>
    </xdr:to>
    <xdr:sp macro="" textlink="">
      <xdr:nvSpPr>
        <xdr:cNvPr id="83" name="SHAPE_03"/>
        <xdr:cNvSpPr/>
      </xdr:nvSpPr>
      <xdr:spPr>
        <a:xfrm>
          <a:off x="8385455" y="319522"/>
          <a:ext cx="2397703"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8</xdr:col>
      <xdr:colOff>89119</xdr:colOff>
      <xdr:row>12</xdr:row>
      <xdr:rowOff>1301</xdr:rowOff>
    </xdr:from>
    <xdr:to>
      <xdr:col>11</xdr:col>
      <xdr:colOff>143755</xdr:colOff>
      <xdr:row>12</xdr:row>
      <xdr:rowOff>155836</xdr:rowOff>
    </xdr:to>
    <xdr:cxnSp macro="">
      <xdr:nvCxnSpPr>
        <xdr:cNvPr id="84" name="Straight Arrow Connector 83"/>
        <xdr:cNvCxnSpPr>
          <a:stCxn id="78" idx="3"/>
          <a:endCxn id="102" idx="1"/>
        </xdr:cNvCxnSpPr>
      </xdr:nvCxnSpPr>
      <xdr:spPr>
        <a:xfrm>
          <a:off x="4938210" y="1906301"/>
          <a:ext cx="1873045" cy="1545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406100</xdr:colOff>
      <xdr:row>23</xdr:row>
      <xdr:rowOff>133795</xdr:rowOff>
    </xdr:from>
    <xdr:to>
      <xdr:col>20</xdr:col>
      <xdr:colOff>12974</xdr:colOff>
      <xdr:row>30</xdr:row>
      <xdr:rowOff>19498</xdr:rowOff>
    </xdr:to>
    <xdr:sp macro="" textlink="">
      <xdr:nvSpPr>
        <xdr:cNvPr id="85" name="SHAPE_19"/>
        <xdr:cNvSpPr/>
      </xdr:nvSpPr>
      <xdr:spPr>
        <a:xfrm>
          <a:off x="10312100" y="4134295"/>
          <a:ext cx="2083374"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20</xdr:col>
      <xdr:colOff>12974</xdr:colOff>
      <xdr:row>26</xdr:row>
      <xdr:rowOff>166703</xdr:rowOff>
    </xdr:from>
    <xdr:to>
      <xdr:col>20</xdr:col>
      <xdr:colOff>342020</xdr:colOff>
      <xdr:row>26</xdr:row>
      <xdr:rowOff>171897</xdr:rowOff>
    </xdr:to>
    <xdr:cxnSp macro="">
      <xdr:nvCxnSpPr>
        <xdr:cNvPr id="86" name="Straight Arrow Connector 85"/>
        <xdr:cNvCxnSpPr>
          <a:stCxn id="85" idx="3"/>
          <a:endCxn id="42" idx="1"/>
        </xdr:cNvCxnSpPr>
      </xdr:nvCxnSpPr>
      <xdr:spPr>
        <a:xfrm flipV="1">
          <a:off x="12395474" y="4738703"/>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79</xdr:row>
      <xdr:rowOff>110392</xdr:rowOff>
    </xdr:from>
    <xdr:to>
      <xdr:col>6</xdr:col>
      <xdr:colOff>320752</xdr:colOff>
      <xdr:row>83</xdr:row>
      <xdr:rowOff>141563</xdr:rowOff>
    </xdr:to>
    <xdr:sp macro="" textlink="">
      <xdr:nvSpPr>
        <xdr:cNvPr id="87" name="SHAPE_29"/>
        <xdr:cNvSpPr/>
      </xdr:nvSpPr>
      <xdr:spPr>
        <a:xfrm>
          <a:off x="1074960" y="14778892"/>
          <a:ext cx="2960542"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524674</xdr:colOff>
      <xdr:row>76</xdr:row>
      <xdr:rowOff>90393</xdr:rowOff>
    </xdr:from>
    <xdr:to>
      <xdr:col>4</xdr:col>
      <xdr:colOff>78731</xdr:colOff>
      <xdr:row>79</xdr:row>
      <xdr:rowOff>110392</xdr:rowOff>
    </xdr:to>
    <xdr:cxnSp macro="">
      <xdr:nvCxnSpPr>
        <xdr:cNvPr id="88" name="Straight Arrow Connector 87"/>
        <xdr:cNvCxnSpPr>
          <a:stCxn id="53" idx="2"/>
          <a:endCxn id="87" idx="0"/>
        </xdr:cNvCxnSpPr>
      </xdr:nvCxnSpPr>
      <xdr:spPr>
        <a:xfrm>
          <a:off x="2382049" y="14187393"/>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74</xdr:row>
      <xdr:rowOff>136367</xdr:rowOff>
    </xdr:from>
    <xdr:to>
      <xdr:col>10</xdr:col>
      <xdr:colOff>502227</xdr:colOff>
      <xdr:row>81</xdr:row>
      <xdr:rowOff>125978</xdr:rowOff>
    </xdr:to>
    <xdr:cxnSp macro="">
      <xdr:nvCxnSpPr>
        <xdr:cNvPr id="89" name="Straight Arrow Connector 88"/>
        <xdr:cNvCxnSpPr>
          <a:stCxn id="87" idx="3"/>
          <a:endCxn id="66" idx="1"/>
        </xdr:cNvCxnSpPr>
      </xdr:nvCxnSpPr>
      <xdr:spPr>
        <a:xfrm flipV="1">
          <a:off x="4035502" y="13852367"/>
          <a:ext cx="2657975" cy="132311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5</xdr:row>
      <xdr:rowOff>121228</xdr:rowOff>
    </xdr:from>
    <xdr:to>
      <xdr:col>50</xdr:col>
      <xdr:colOff>259774</xdr:colOff>
      <xdr:row>78</xdr:row>
      <xdr:rowOff>138548</xdr:rowOff>
    </xdr:to>
    <xdr:grpSp>
      <xdr:nvGrpSpPr>
        <xdr:cNvPr id="575" name="GROUP_TINH_THOI_GIAN"/>
        <xdr:cNvGrpSpPr/>
      </xdr:nvGrpSpPr>
      <xdr:grpSpPr>
        <a:xfrm>
          <a:off x="3282162" y="1073728"/>
          <a:ext cx="27933862" cy="13923820"/>
          <a:chOff x="3217219" y="311728"/>
          <a:chExt cx="27349373" cy="12509396"/>
        </a:xfrm>
      </xdr:grpSpPr>
      <xdr:sp macro="" textlink="">
        <xdr:nvSpPr>
          <xdr:cNvPr id="58" name="Rounded Rectangle 57"/>
          <xdr:cNvSpPr/>
        </xdr:nvSpPr>
        <xdr:spPr>
          <a:xfrm>
            <a:off x="15107165" y="11636563"/>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xdr:cNvCxnSpPr>
            <a:stCxn id="53" idx="3"/>
            <a:endCxn id="58" idx="1"/>
          </xdr:cNvCxnSpPr>
        </xdr:nvCxnSpPr>
        <xdr:spPr>
          <a:xfrm>
            <a:off x="3217219" y="11643595"/>
            <a:ext cx="11889946" cy="585249"/>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xdr:cNvCxnSpPr>
            <a:stCxn id="99" idx="3"/>
            <a:endCxn id="46" idx="2"/>
          </xdr:cNvCxnSpPr>
        </xdr:nvCxnSpPr>
        <xdr:spPr>
          <a:xfrm flipV="1">
            <a:off x="5775066" y="4052455"/>
            <a:ext cx="19690054" cy="4072189"/>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xdr:cNvCxnSpPr>
            <a:stCxn id="100" idx="3"/>
            <a:endCxn id="17" idx="1"/>
          </xdr:cNvCxnSpPr>
        </xdr:nvCxnSpPr>
        <xdr:spPr>
          <a:xfrm flipV="1">
            <a:off x="3655574" y="1681905"/>
            <a:ext cx="20518073" cy="210530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xdr:cNvCxnSpPr>
            <a:stCxn id="28" idx="3"/>
            <a:endCxn id="17" idx="1"/>
          </xdr:cNvCxnSpPr>
        </xdr:nvCxnSpPr>
        <xdr:spPr>
          <a:xfrm>
            <a:off x="22323135" y="1614812"/>
            <a:ext cx="1850512" cy="6709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xdr:cNvCxnSpPr>
            <a:stCxn id="39" idx="3"/>
            <a:endCxn id="46" idx="1"/>
          </xdr:cNvCxnSpPr>
        </xdr:nvCxnSpPr>
        <xdr:spPr>
          <a:xfrm flipV="1">
            <a:off x="22666420" y="3316432"/>
            <a:ext cx="1507227" cy="432381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xdr:cNvCxnSpPr>
            <a:stCxn id="58" idx="3"/>
            <a:endCxn id="61" idx="2"/>
          </xdr:cNvCxnSpPr>
        </xdr:nvCxnSpPr>
        <xdr:spPr>
          <a:xfrm flipV="1">
            <a:off x="17690111" y="4035135"/>
            <a:ext cx="11219487" cy="819370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xdr:cNvGrpSpPr/>
        </xdr:nvGrpSpPr>
        <xdr:grpSpPr>
          <a:xfrm>
            <a:off x="23985682" y="311728"/>
            <a:ext cx="6580910" cy="3983181"/>
            <a:chOff x="24332045" y="173183"/>
            <a:chExt cx="6580910" cy="3983181"/>
          </a:xfrm>
        </xdr:grpSpPr>
        <xdr:sp macro="" textlink="">
          <xdr:nvSpPr>
            <xdr:cNvPr id="153" name="Rounded Rectangle 152"/>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48</xdr:row>
      <xdr:rowOff>86589</xdr:rowOff>
    </xdr:from>
    <xdr:to>
      <xdr:col>44</xdr:col>
      <xdr:colOff>543791</xdr:colOff>
      <xdr:row>55</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48</xdr:row>
      <xdr:rowOff>103908</xdr:rowOff>
    </xdr:from>
    <xdr:to>
      <xdr:col>48</xdr:col>
      <xdr:colOff>345097</xdr:colOff>
      <xdr:row>55</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57</xdr:row>
      <xdr:rowOff>132553</xdr:rowOff>
    </xdr:from>
    <xdr:to>
      <xdr:col>48</xdr:col>
      <xdr:colOff>311964</xdr:colOff>
      <xdr:row>65</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67</xdr:row>
      <xdr:rowOff>32413</xdr:rowOff>
    </xdr:from>
    <xdr:to>
      <xdr:col>44</xdr:col>
      <xdr:colOff>119784</xdr:colOff>
      <xdr:row>76</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57</xdr:row>
      <xdr:rowOff>130451</xdr:rowOff>
    </xdr:from>
    <xdr:to>
      <xdr:col>44</xdr:col>
      <xdr:colOff>453736</xdr:colOff>
      <xdr:row>65</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67</xdr:row>
      <xdr:rowOff>155871</xdr:rowOff>
    </xdr:from>
    <xdr:to>
      <xdr:col>48</xdr:col>
      <xdr:colOff>381000</xdr:colOff>
      <xdr:row>75</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38</xdr:row>
      <xdr:rowOff>153564</xdr:rowOff>
    </xdr:from>
    <xdr:to>
      <xdr:col>44</xdr:col>
      <xdr:colOff>484909</xdr:colOff>
      <xdr:row>46</xdr:row>
      <xdr:rowOff>69273</xdr:rowOff>
    </xdr:to>
    <xdr:sp macro="" textlink="">
      <xdr:nvSpPr>
        <xdr:cNvPr id="79" name="SHAPE_32"/>
        <xdr:cNvSpPr/>
      </xdr:nvSpPr>
      <xdr:spPr>
        <a:xfrm>
          <a:off x="24617831" y="5297064"/>
          <a:ext cx="2537078" cy="1439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31</xdr:row>
      <xdr:rowOff>7790</xdr:rowOff>
    </xdr:from>
    <xdr:to>
      <xdr:col>6</xdr:col>
      <xdr:colOff>494455</xdr:colOff>
      <xdr:row>41</xdr:row>
      <xdr:rowOff>180972</xdr:rowOff>
    </xdr:to>
    <xdr:sp macro="" textlink="">
      <xdr:nvSpPr>
        <xdr:cNvPr id="268" name="SHAPE_16"/>
        <xdr:cNvSpPr/>
      </xdr:nvSpPr>
      <xdr:spPr>
        <a:xfrm>
          <a:off x="1978603" y="5532290"/>
          <a:ext cx="223060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8</xdr:col>
      <xdr:colOff>293097</xdr:colOff>
      <xdr:row>35</xdr:row>
      <xdr:rowOff>104775</xdr:rowOff>
    </xdr:from>
    <xdr:to>
      <xdr:col>9</xdr:col>
      <xdr:colOff>327734</xdr:colOff>
      <xdr:row>37</xdr:row>
      <xdr:rowOff>85725</xdr:rowOff>
    </xdr:to>
    <xdr:sp macro="" textlink="">
      <xdr:nvSpPr>
        <xdr:cNvPr id="269" name="SHAPE_17"/>
        <xdr:cNvSpPr/>
      </xdr:nvSpPr>
      <xdr:spPr>
        <a:xfrm>
          <a:off x="5246097" y="6391275"/>
          <a:ext cx="653762"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36</xdr:row>
      <xdr:rowOff>94381</xdr:rowOff>
    </xdr:from>
    <xdr:to>
      <xdr:col>8</xdr:col>
      <xdr:colOff>293097</xdr:colOff>
      <xdr:row>36</xdr:row>
      <xdr:rowOff>95250</xdr:rowOff>
    </xdr:to>
    <xdr:cxnSp macro="">
      <xdr:nvCxnSpPr>
        <xdr:cNvPr id="270" name="Straight Arrow Connector 269"/>
        <xdr:cNvCxnSpPr>
          <a:stCxn id="268" idx="3"/>
          <a:endCxn id="269" idx="1"/>
        </xdr:cNvCxnSpPr>
      </xdr:nvCxnSpPr>
      <xdr:spPr>
        <a:xfrm>
          <a:off x="4209205" y="6571381"/>
          <a:ext cx="1036892" cy="86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327734</xdr:colOff>
      <xdr:row>31</xdr:row>
      <xdr:rowOff>186487</xdr:rowOff>
    </xdr:from>
    <xdr:to>
      <xdr:col>11</xdr:col>
      <xdr:colOff>254497</xdr:colOff>
      <xdr:row>36</xdr:row>
      <xdr:rowOff>95250</xdr:rowOff>
    </xdr:to>
    <xdr:cxnSp macro="">
      <xdr:nvCxnSpPr>
        <xdr:cNvPr id="271" name="Straight Arrow Connector 270"/>
        <xdr:cNvCxnSpPr>
          <a:stCxn id="269" idx="3"/>
          <a:endCxn id="81" idx="1"/>
        </xdr:cNvCxnSpPr>
      </xdr:nvCxnSpPr>
      <xdr:spPr>
        <a:xfrm flipV="1">
          <a:off x="5899859" y="5710987"/>
          <a:ext cx="1165013" cy="8612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28</xdr:row>
      <xdr:rowOff>119063</xdr:rowOff>
    </xdr:from>
    <xdr:to>
      <xdr:col>4</xdr:col>
      <xdr:colOff>617404</xdr:colOff>
      <xdr:row>31</xdr:row>
      <xdr:rowOff>7790</xdr:rowOff>
    </xdr:to>
    <xdr:cxnSp macro="">
      <xdr:nvCxnSpPr>
        <xdr:cNvPr id="277" name="Straight Arrow Connector 276"/>
        <xdr:cNvCxnSpPr>
          <a:stCxn id="100" idx="2"/>
          <a:endCxn id="268" idx="0"/>
        </xdr:cNvCxnSpPr>
      </xdr:nvCxnSpPr>
      <xdr:spPr>
        <a:xfrm>
          <a:off x="2026210" y="5072063"/>
          <a:ext cx="1067694" cy="460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168835</xdr:colOff>
      <xdr:row>18</xdr:row>
      <xdr:rowOff>168311</xdr:rowOff>
    </xdr:from>
    <xdr:to>
      <xdr:col>13</xdr:col>
      <xdr:colOff>217007</xdr:colOff>
      <xdr:row>23</xdr:row>
      <xdr:rowOff>49790</xdr:rowOff>
    </xdr:to>
    <xdr:cxnSp macro="">
      <xdr:nvCxnSpPr>
        <xdr:cNvPr id="420" name="Straight Arrow Connector 419"/>
        <xdr:cNvCxnSpPr>
          <a:stCxn id="12" idx="1"/>
          <a:endCxn id="100" idx="0"/>
        </xdr:cNvCxnSpPr>
      </xdr:nvCxnSpPr>
      <xdr:spPr>
        <a:xfrm flipH="1">
          <a:off x="2026210" y="3216311"/>
          <a:ext cx="6239422" cy="83397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450703</xdr:colOff>
      <xdr:row>46</xdr:row>
      <xdr:rowOff>169174</xdr:rowOff>
    </xdr:from>
    <xdr:to>
      <xdr:col>11</xdr:col>
      <xdr:colOff>290654</xdr:colOff>
      <xdr:row>48</xdr:row>
      <xdr:rowOff>139401</xdr:rowOff>
    </xdr:to>
    <xdr:cxnSp macro="">
      <xdr:nvCxnSpPr>
        <xdr:cNvPr id="434" name="Straight Arrow Connector 433"/>
        <xdr:cNvCxnSpPr>
          <a:stCxn id="48" idx="1"/>
          <a:endCxn id="99" idx="0"/>
        </xdr:cNvCxnSpPr>
      </xdr:nvCxnSpPr>
      <xdr:spPr>
        <a:xfrm flipH="1">
          <a:off x="4165453" y="8551174"/>
          <a:ext cx="2935576" cy="351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322548</xdr:colOff>
      <xdr:row>48</xdr:row>
      <xdr:rowOff>86875</xdr:rowOff>
    </xdr:from>
    <xdr:to>
      <xdr:col>32</xdr:col>
      <xdr:colOff>346363</xdr:colOff>
      <xdr:row>51</xdr:row>
      <xdr:rowOff>54542</xdr:rowOff>
    </xdr:to>
    <xdr:cxnSp macro="">
      <xdr:nvCxnSpPr>
        <xdr:cNvPr id="435" name="Straight Arrow Connector 434"/>
        <xdr:cNvCxnSpPr>
          <a:stCxn id="99" idx="3"/>
          <a:endCxn id="39" idx="1"/>
        </xdr:cNvCxnSpPr>
      </xdr:nvCxnSpPr>
      <xdr:spPr>
        <a:xfrm flipV="1">
          <a:off x="5894673" y="8849875"/>
          <a:ext cx="14263690" cy="53916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533402</xdr:colOff>
      <xdr:row>57</xdr:row>
      <xdr:rowOff>141563</xdr:rowOff>
    </xdr:from>
    <xdr:to>
      <xdr:col>14</xdr:col>
      <xdr:colOff>516085</xdr:colOff>
      <xdr:row>66</xdr:row>
      <xdr:rowOff>72291</xdr:rowOff>
    </xdr:to>
    <xdr:sp macro="" textlink="">
      <xdr:nvSpPr>
        <xdr:cNvPr id="528" name="SHAPE_31"/>
        <xdr:cNvSpPr/>
      </xdr:nvSpPr>
      <xdr:spPr>
        <a:xfrm>
          <a:off x="6724652" y="10619063"/>
          <a:ext cx="2459183"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9</xdr:col>
      <xdr:colOff>322548</xdr:colOff>
      <xdr:row>51</xdr:row>
      <xdr:rowOff>54542</xdr:rowOff>
    </xdr:from>
    <xdr:to>
      <xdr:col>12</xdr:col>
      <xdr:colOff>524744</xdr:colOff>
      <xdr:row>57</xdr:row>
      <xdr:rowOff>141563</xdr:rowOff>
    </xdr:to>
    <xdr:cxnSp macro="">
      <xdr:nvCxnSpPr>
        <xdr:cNvPr id="538" name="Straight Arrow Connector 537"/>
        <xdr:cNvCxnSpPr>
          <a:stCxn id="528" idx="0"/>
          <a:endCxn id="99" idx="3"/>
        </xdr:cNvCxnSpPr>
      </xdr:nvCxnSpPr>
      <xdr:spPr>
        <a:xfrm flipH="1" flipV="1">
          <a:off x="5894673" y="9389042"/>
          <a:ext cx="2059571" cy="1230021"/>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5</xdr:row>
      <xdr:rowOff>51955</xdr:rowOff>
    </xdr:from>
    <xdr:to>
      <xdr:col>53</xdr:col>
      <xdr:colOff>303069</xdr:colOff>
      <xdr:row>11</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6">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12</xdr:row>
      <xdr:rowOff>170249</xdr:rowOff>
    </xdr:from>
    <xdr:to>
      <xdr:col>52</xdr:col>
      <xdr:colOff>89979</xdr:colOff>
      <xdr:row>17</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12</xdr:row>
      <xdr:rowOff>170249</xdr:rowOff>
    </xdr:from>
    <xdr:to>
      <xdr:col>53</xdr:col>
      <xdr:colOff>222660</xdr:colOff>
      <xdr:row>17</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3</xdr:col>
      <xdr:colOff>578858</xdr:colOff>
      <xdr:row>48</xdr:row>
      <xdr:rowOff>139401</xdr:rowOff>
    </xdr:from>
    <xdr:to>
      <xdr:col>9</xdr:col>
      <xdr:colOff>322548</xdr:colOff>
      <xdr:row>53</xdr:row>
      <xdr:rowOff>160183</xdr:rowOff>
    </xdr:to>
    <xdr:sp macro="" textlink="">
      <xdr:nvSpPr>
        <xdr:cNvPr id="99" name="SHAPE_27"/>
        <xdr:cNvSpPr/>
      </xdr:nvSpPr>
      <xdr:spPr>
        <a:xfrm>
          <a:off x="2436233" y="8902401"/>
          <a:ext cx="3458440"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0</xdr:col>
      <xdr:colOff>322534</xdr:colOff>
      <xdr:row>23</xdr:row>
      <xdr:rowOff>49790</xdr:rowOff>
    </xdr:from>
    <xdr:to>
      <xdr:col>6</xdr:col>
      <xdr:colOff>15135</xdr:colOff>
      <xdr:row>28</xdr:row>
      <xdr:rowOff>119063</xdr:rowOff>
    </xdr:to>
    <xdr:sp macro="" textlink="">
      <xdr:nvSpPr>
        <xdr:cNvPr id="100" name="SHAPE_11"/>
        <xdr:cNvSpPr/>
      </xdr:nvSpPr>
      <xdr:spPr>
        <a:xfrm>
          <a:off x="322534" y="4050290"/>
          <a:ext cx="3407351"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11</xdr:col>
      <xdr:colOff>143755</xdr:colOff>
      <xdr:row>10</xdr:row>
      <xdr:rowOff>57525</xdr:rowOff>
    </xdr:from>
    <xdr:to>
      <xdr:col>14</xdr:col>
      <xdr:colOff>112563</xdr:colOff>
      <xdr:row>15</xdr:row>
      <xdr:rowOff>63646</xdr:rowOff>
    </xdr:to>
    <xdr:sp macro="" textlink="">
      <xdr:nvSpPr>
        <xdr:cNvPr id="102" name="SHAPE_05"/>
        <xdr:cNvSpPr/>
      </xdr:nvSpPr>
      <xdr:spPr>
        <a:xfrm>
          <a:off x="6811255" y="1581525"/>
          <a:ext cx="1787217"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14</xdr:col>
      <xdr:colOff>112563</xdr:colOff>
      <xdr:row>12</xdr:row>
      <xdr:rowOff>107344</xdr:rowOff>
    </xdr:from>
    <xdr:to>
      <xdr:col>14</xdr:col>
      <xdr:colOff>493562</xdr:colOff>
      <xdr:row>12</xdr:row>
      <xdr:rowOff>155836</xdr:rowOff>
    </xdr:to>
    <xdr:cxnSp macro="">
      <xdr:nvCxnSpPr>
        <xdr:cNvPr id="123" name="Straight Arrow Connector 122"/>
        <xdr:cNvCxnSpPr>
          <a:stCxn id="102" idx="3"/>
          <a:endCxn id="9" idx="1"/>
        </xdr:cNvCxnSpPr>
      </xdr:nvCxnSpPr>
      <xdr:spPr>
        <a:xfrm flipV="1">
          <a:off x="8598472" y="2012344"/>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369751</xdr:colOff>
      <xdr:row>31</xdr:row>
      <xdr:rowOff>127678</xdr:rowOff>
    </xdr:from>
    <xdr:to>
      <xdr:col>20</xdr:col>
      <xdr:colOff>338558</xdr:colOff>
      <xdr:row>36</xdr:row>
      <xdr:rowOff>133799</xdr:rowOff>
    </xdr:to>
    <xdr:sp macro="" textlink="">
      <xdr:nvSpPr>
        <xdr:cNvPr id="157" name="SHAPE_21"/>
        <xdr:cNvSpPr/>
      </xdr:nvSpPr>
      <xdr:spPr>
        <a:xfrm>
          <a:off x="10894876" y="5652178"/>
          <a:ext cx="1826182"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20</xdr:col>
      <xdr:colOff>338558</xdr:colOff>
      <xdr:row>33</xdr:row>
      <xdr:rowOff>149382</xdr:rowOff>
    </xdr:from>
    <xdr:to>
      <xdr:col>20</xdr:col>
      <xdr:colOff>597461</xdr:colOff>
      <xdr:row>34</xdr:row>
      <xdr:rowOff>35489</xdr:rowOff>
    </xdr:to>
    <xdr:cxnSp macro="">
      <xdr:nvCxnSpPr>
        <xdr:cNvPr id="159" name="Straight Arrow Connector 158"/>
        <xdr:cNvCxnSpPr>
          <a:stCxn id="157" idx="3"/>
          <a:endCxn id="32" idx="1"/>
        </xdr:cNvCxnSpPr>
      </xdr:nvCxnSpPr>
      <xdr:spPr>
        <a:xfrm flipV="1">
          <a:off x="12721058" y="6054882"/>
          <a:ext cx="258903" cy="766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5</xdr:row>
      <xdr:rowOff>121227</xdr:rowOff>
    </xdr:from>
    <xdr:to>
      <xdr:col>36</xdr:col>
      <xdr:colOff>502226</xdr:colOff>
      <xdr:row>20</xdr:row>
      <xdr:rowOff>164574</xdr:rowOff>
    </xdr:to>
    <xdr:sp macro="" textlink="">
      <xdr:nvSpPr>
        <xdr:cNvPr id="28" name="SHAPE_09"/>
        <xdr:cNvSpPr>
          <a:spLocks noChangeAspect="1"/>
        </xdr:cNvSpPr>
      </xdr:nvSpPr>
      <xdr:spPr>
        <a:xfrm>
          <a:off x="19404308" y="69272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twoCellAnchor>
    <xdr:from>
      <xdr:col>18</xdr:col>
      <xdr:colOff>294410</xdr:colOff>
      <xdr:row>9</xdr:row>
      <xdr:rowOff>86592</xdr:rowOff>
    </xdr:from>
    <xdr:to>
      <xdr:col>21</xdr:col>
      <xdr:colOff>588819</xdr:colOff>
      <xdr:row>15</xdr:row>
      <xdr:rowOff>29010</xdr:rowOff>
    </xdr:to>
    <xdr:sp macro="" textlink="">
      <xdr:nvSpPr>
        <xdr:cNvPr id="103" name="SHAPE_06.1"/>
        <xdr:cNvSpPr/>
      </xdr:nvSpPr>
      <xdr:spPr>
        <a:xfrm>
          <a:off x="11204865" y="1420092"/>
          <a:ext cx="2112818" cy="108541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Tách</a:t>
          </a:r>
          <a:r>
            <a:rPr lang="en-US" sz="2400" baseline="0"/>
            <a:t> lệnh SX NGAY và ĐỢI</a:t>
          </a:r>
          <a:endParaRPr lang="en-US" sz="2400"/>
        </a:p>
      </xdr:txBody>
    </xdr:sp>
    <xdr:clientData/>
  </xdr:twoCellAnchor>
  <xdr:twoCellAnchor>
    <xdr:from>
      <xdr:col>21</xdr:col>
      <xdr:colOff>588819</xdr:colOff>
      <xdr:row>12</xdr:row>
      <xdr:rowOff>24896</xdr:rowOff>
    </xdr:from>
    <xdr:to>
      <xdr:col>22</xdr:col>
      <xdr:colOff>307080</xdr:colOff>
      <xdr:row>12</xdr:row>
      <xdr:rowOff>57801</xdr:rowOff>
    </xdr:to>
    <xdr:cxnSp macro="">
      <xdr:nvCxnSpPr>
        <xdr:cNvPr id="105" name="Straight Arrow Connector 104"/>
        <xdr:cNvCxnSpPr>
          <a:stCxn id="103" idx="3"/>
          <a:endCxn id="10" idx="1"/>
        </xdr:cNvCxnSpPr>
      </xdr:nvCxnSpPr>
      <xdr:spPr>
        <a:xfrm flipV="1">
          <a:off x="13317683" y="1929896"/>
          <a:ext cx="324397" cy="3290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workbookViewId="0">
      <selection activeCell="A23" sqref="A23"/>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5"/>
  <sheetViews>
    <sheetView showGridLines="0" tabSelected="1" view="pageBreakPreview" zoomScale="70" zoomScaleNormal="70" zoomScaleSheetLayoutView="70" workbookViewId="0">
      <selection activeCell="AC45" sqref="AC45"/>
    </sheetView>
  </sheetViews>
  <sheetFormatPr defaultRowHeight="15" x14ac:dyDescent="0.25"/>
  <cols>
    <col min="41" max="41"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view="pageBreakPreview" zoomScale="70" zoomScaleNormal="70" zoomScaleSheetLayoutView="70" workbookViewId="0">
      <selection activeCell="Q43" sqref="Q43"/>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40" zoomScaleNormal="40" zoomScaleSheetLayoutView="40" workbookViewId="0">
      <selection activeCell="W41" sqref="W4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26:BA67"/>
  <sheetViews>
    <sheetView showGridLines="0" view="pageBreakPreview" zoomScale="40" zoomScaleNormal="40" zoomScaleSheetLayoutView="40" workbookViewId="0">
      <selection activeCell="A71" sqref="A71"/>
    </sheetView>
  </sheetViews>
  <sheetFormatPr defaultRowHeight="15" x14ac:dyDescent="0.25"/>
  <cols>
    <col min="10" max="10" width="9.140625" customWidth="1"/>
    <col min="52" max="52" width="10.140625" customWidth="1"/>
  </cols>
  <sheetData>
    <row r="26" spans="52:53" x14ac:dyDescent="0.25">
      <c r="AZ26" t="s">
        <v>188</v>
      </c>
      <c r="BA26" t="s">
        <v>189</v>
      </c>
    </row>
    <row r="28" spans="52:53" x14ac:dyDescent="0.25">
      <c r="AZ28">
        <v>1</v>
      </c>
      <c r="BA28" t="s">
        <v>190</v>
      </c>
    </row>
    <row r="29" spans="52:53" x14ac:dyDescent="0.25">
      <c r="AZ29">
        <v>2</v>
      </c>
      <c r="BA29" t="s">
        <v>191</v>
      </c>
    </row>
    <row r="30" spans="52:53" x14ac:dyDescent="0.25">
      <c r="AZ30">
        <v>3</v>
      </c>
      <c r="BA30" t="s">
        <v>192</v>
      </c>
    </row>
    <row r="31" spans="52:53" x14ac:dyDescent="0.25">
      <c r="AZ31">
        <v>4</v>
      </c>
      <c r="BA31" t="s">
        <v>193</v>
      </c>
    </row>
    <row r="32" spans="52:53" x14ac:dyDescent="0.25">
      <c r="AZ32">
        <v>5</v>
      </c>
      <c r="BA32" t="s">
        <v>194</v>
      </c>
    </row>
    <row r="33" spans="52:53" x14ac:dyDescent="0.25">
      <c r="AZ33">
        <v>6</v>
      </c>
      <c r="BA33" t="s">
        <v>195</v>
      </c>
    </row>
    <row r="34" spans="52:53" x14ac:dyDescent="0.25">
      <c r="AZ34">
        <v>7</v>
      </c>
      <c r="BA34" t="s">
        <v>228</v>
      </c>
    </row>
    <row r="35" spans="52:53" x14ac:dyDescent="0.25">
      <c r="AZ35">
        <v>8</v>
      </c>
      <c r="BA35" t="s">
        <v>196</v>
      </c>
    </row>
    <row r="36" spans="52:53" x14ac:dyDescent="0.25">
      <c r="AZ36">
        <v>9</v>
      </c>
      <c r="BA36" t="s">
        <v>197</v>
      </c>
    </row>
    <row r="37" spans="52:53" x14ac:dyDescent="0.25">
      <c r="AZ37">
        <v>10</v>
      </c>
      <c r="BA37" t="s">
        <v>198</v>
      </c>
    </row>
    <row r="38" spans="52:53" x14ac:dyDescent="0.25">
      <c r="AZ38">
        <v>11</v>
      </c>
      <c r="BA38" t="s">
        <v>199</v>
      </c>
    </row>
    <row r="39" spans="52:53" x14ac:dyDescent="0.25">
      <c r="AZ39">
        <v>12</v>
      </c>
      <c r="BA39" t="s">
        <v>200</v>
      </c>
    </row>
    <row r="40" spans="52:53" x14ac:dyDescent="0.25">
      <c r="AZ40">
        <v>13</v>
      </c>
      <c r="BA40" t="s">
        <v>201</v>
      </c>
    </row>
    <row r="41" spans="52:53" x14ac:dyDescent="0.25">
      <c r="AZ41">
        <v>14</v>
      </c>
      <c r="BA41" t="s">
        <v>202</v>
      </c>
    </row>
    <row r="42" spans="52:53" x14ac:dyDescent="0.25">
      <c r="AZ42">
        <v>15</v>
      </c>
      <c r="BA42" t="s">
        <v>203</v>
      </c>
    </row>
    <row r="43" spans="52:53" x14ac:dyDescent="0.25">
      <c r="AZ43">
        <v>16</v>
      </c>
      <c r="BA43" t="s">
        <v>204</v>
      </c>
    </row>
    <row r="44" spans="52:53" x14ac:dyDescent="0.25">
      <c r="AZ44">
        <v>17</v>
      </c>
      <c r="BA44" t="s">
        <v>205</v>
      </c>
    </row>
    <row r="45" spans="52:53" x14ac:dyDescent="0.25">
      <c r="AZ45">
        <v>18</v>
      </c>
      <c r="BA45" t="s">
        <v>206</v>
      </c>
    </row>
    <row r="46" spans="52:53" x14ac:dyDescent="0.25">
      <c r="AZ46">
        <v>19</v>
      </c>
      <c r="BA46" t="s">
        <v>207</v>
      </c>
    </row>
    <row r="47" spans="52:53" x14ac:dyDescent="0.25">
      <c r="AZ47">
        <v>20</v>
      </c>
      <c r="BA47" t="s">
        <v>208</v>
      </c>
    </row>
    <row r="48" spans="52:53" x14ac:dyDescent="0.25">
      <c r="AZ48">
        <v>21</v>
      </c>
      <c r="BA48" t="s">
        <v>209</v>
      </c>
    </row>
    <row r="49" spans="52:53" x14ac:dyDescent="0.25">
      <c r="AZ49">
        <v>22</v>
      </c>
      <c r="BA49" t="s">
        <v>210</v>
      </c>
    </row>
    <row r="50" spans="52:53" x14ac:dyDescent="0.25">
      <c r="AZ50">
        <v>23</v>
      </c>
      <c r="BA50" t="s">
        <v>211</v>
      </c>
    </row>
    <row r="51" spans="52:53" x14ac:dyDescent="0.25">
      <c r="AZ51">
        <v>24</v>
      </c>
      <c r="BA51" t="s">
        <v>212</v>
      </c>
    </row>
    <row r="52" spans="52:53" x14ac:dyDescent="0.25">
      <c r="AZ52">
        <v>25</v>
      </c>
      <c r="BA52" t="s">
        <v>213</v>
      </c>
    </row>
    <row r="53" spans="52:53" x14ac:dyDescent="0.25">
      <c r="AZ53">
        <v>26</v>
      </c>
      <c r="BA53" t="s">
        <v>214</v>
      </c>
    </row>
    <row r="54" spans="52:53" x14ac:dyDescent="0.25">
      <c r="AZ54">
        <v>27</v>
      </c>
      <c r="BA54" t="s">
        <v>215</v>
      </c>
    </row>
    <row r="55" spans="52:53" x14ac:dyDescent="0.25">
      <c r="AZ55">
        <v>28</v>
      </c>
      <c r="BA55" t="s">
        <v>216</v>
      </c>
    </row>
    <row r="56" spans="52:53" x14ac:dyDescent="0.25">
      <c r="AZ56">
        <v>29</v>
      </c>
      <c r="BA56" t="s">
        <v>217</v>
      </c>
    </row>
    <row r="57" spans="52:53" x14ac:dyDescent="0.25">
      <c r="AZ57">
        <v>30</v>
      </c>
      <c r="BA57" t="s">
        <v>204</v>
      </c>
    </row>
    <row r="58" spans="52:53" x14ac:dyDescent="0.25">
      <c r="AZ58">
        <v>31</v>
      </c>
      <c r="BA58" t="s">
        <v>218</v>
      </c>
    </row>
    <row r="59" spans="52:53" x14ac:dyDescent="0.25">
      <c r="AZ59">
        <v>32</v>
      </c>
      <c r="BA59" t="s">
        <v>219</v>
      </c>
    </row>
    <row r="60" spans="52:53" x14ac:dyDescent="0.25">
      <c r="AZ60">
        <v>33</v>
      </c>
      <c r="BA60" t="s">
        <v>220</v>
      </c>
    </row>
    <row r="61" spans="52:53" x14ac:dyDescent="0.25">
      <c r="AZ61">
        <v>34</v>
      </c>
      <c r="BA61" t="s">
        <v>221</v>
      </c>
    </row>
    <row r="62" spans="52:53" x14ac:dyDescent="0.25">
      <c r="AZ62">
        <v>35</v>
      </c>
      <c r="BA62" t="s">
        <v>222</v>
      </c>
    </row>
    <row r="63" spans="52:53" x14ac:dyDescent="0.25">
      <c r="AZ63">
        <v>36</v>
      </c>
      <c r="BA63" t="s">
        <v>223</v>
      </c>
    </row>
    <row r="64" spans="52:53" x14ac:dyDescent="0.25">
      <c r="AZ64">
        <v>37</v>
      </c>
      <c r="BA64" t="s">
        <v>224</v>
      </c>
    </row>
    <row r="65" spans="52:53" x14ac:dyDescent="0.25">
      <c r="AZ65">
        <v>38</v>
      </c>
      <c r="BA65" t="s">
        <v>225</v>
      </c>
    </row>
    <row r="66" spans="52:53" x14ac:dyDescent="0.25">
      <c r="AZ66">
        <v>39</v>
      </c>
      <c r="BA66" t="s">
        <v>226</v>
      </c>
    </row>
    <row r="67" spans="52:53" x14ac:dyDescent="0.25">
      <c r="AZ67">
        <v>40</v>
      </c>
      <c r="BA67" t="s">
        <v>227</v>
      </c>
    </row>
  </sheetData>
  <pageMargins left="0.25" right="0.25" top="0.75" bottom="0.75" header="0.3" footer="0.3"/>
  <pageSetup paperSize="9" scale="31"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R37" sqref="R37"/>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1</v>
      </c>
      <c r="C4" s="14">
        <f t="shared" ref="C4:C28" ca="1" si="1">IF(B4&lt;0,0,RANDBETWEEN($C$3-2,$C$3+2))</f>
        <v>7</v>
      </c>
      <c r="D4" s="13">
        <f t="shared" ref="D4:D28" ca="1" si="2">+IF(B4&lt;0,0,B4*C4)</f>
        <v>7</v>
      </c>
      <c r="E4" s="13">
        <f t="shared" ref="E4:E28" ca="1" si="3">($D$3+SUMIFS($D$4:$D$28,$B$4:$B$28,"&gt;0"))/
($B$3+SUMIFS($B$4:$B$28,$B$4:$B$28,"&gt;0"))</f>
        <v>4.9930675909878683</v>
      </c>
      <c r="F4" s="13">
        <f t="shared" ref="F4:F28" ca="1" si="4">IF(B4&lt;0,B4*E4,0)</f>
        <v>0</v>
      </c>
      <c r="H4" s="16" t="s">
        <v>72</v>
      </c>
      <c r="I4" s="21">
        <f t="shared" ref="I4:I28" ca="1" si="5">+B4</f>
        <v>1</v>
      </c>
      <c r="J4" s="13">
        <f t="shared" ref="J4:J28" ca="1" si="6">+C4</f>
        <v>7</v>
      </c>
      <c r="K4" s="13">
        <f t="shared" ref="K4:K28" ca="1" si="7">+IF(I4&lt;0,0,I4*J4)</f>
        <v>7</v>
      </c>
      <c r="L4" s="13">
        <f ca="1">($K$3+SUMIFS($K$4:K4,$I$4:I4,"&gt;0"))/
($I$3+SUMIFS($I$4:I4,$I$4:I4,"&gt;0"))</f>
        <v>5.0019980019980022</v>
      </c>
      <c r="M4" s="13">
        <f t="shared" ref="M4:M28" ca="1" si="8">IF(I4&lt;0,I4*L4,0)</f>
        <v>0</v>
      </c>
    </row>
    <row r="5" spans="1:13" x14ac:dyDescent="0.3">
      <c r="B5" s="17">
        <f t="shared" ca="1" si="0"/>
        <v>163</v>
      </c>
      <c r="C5" s="20">
        <f t="shared" ca="1" si="1"/>
        <v>4</v>
      </c>
      <c r="D5" s="18">
        <f t="shared" ca="1" si="2"/>
        <v>652</v>
      </c>
      <c r="E5" s="18">
        <f t="shared" ca="1" si="3"/>
        <v>4.9930675909878683</v>
      </c>
      <c r="F5" s="18">
        <f t="shared" ca="1" si="4"/>
        <v>0</v>
      </c>
      <c r="I5" s="19">
        <f t="shared" ca="1" si="5"/>
        <v>163</v>
      </c>
      <c r="J5" s="18">
        <f t="shared" ca="1" si="6"/>
        <v>4</v>
      </c>
      <c r="K5" s="18">
        <f t="shared" ca="1" si="7"/>
        <v>652</v>
      </c>
      <c r="L5" s="18">
        <f ca="1">($K$3+SUMIFS($K$4:K5,$I$4:I5,"&gt;0"))/
($I$3+SUMIFS($I$4:I5,$I$4:I5,"&gt;0"))</f>
        <v>4.8616838487972505</v>
      </c>
      <c r="M5" s="18">
        <f t="shared" ca="1" si="8"/>
        <v>0</v>
      </c>
    </row>
    <row r="6" spans="1:13" x14ac:dyDescent="0.3">
      <c r="B6" s="17">
        <f t="shared" ca="1" si="0"/>
        <v>-56</v>
      </c>
      <c r="C6" s="20">
        <f t="shared" ca="1" si="1"/>
        <v>0</v>
      </c>
      <c r="D6" s="18">
        <f t="shared" ca="1" si="2"/>
        <v>0</v>
      </c>
      <c r="E6" s="18">
        <f t="shared" ca="1" si="3"/>
        <v>4.9930675909878683</v>
      </c>
      <c r="F6" s="18">
        <f t="shared" ca="1" si="4"/>
        <v>-279.61178509532061</v>
      </c>
      <c r="I6" s="19">
        <f t="shared" ca="1" si="5"/>
        <v>-56</v>
      </c>
      <c r="J6" s="18">
        <f t="shared" ca="1" si="6"/>
        <v>0</v>
      </c>
      <c r="K6" s="18">
        <f t="shared" ca="1" si="7"/>
        <v>0</v>
      </c>
      <c r="L6" s="18">
        <f ca="1">($K$3+SUMIFS($K$4:K6,$I$4:I6,"&gt;0"))/
($I$3+SUMIFS($I$4:I6,$I$4:I6,"&gt;0"))</f>
        <v>4.8616838487972505</v>
      </c>
      <c r="M6" s="18">
        <f t="shared" ca="1" si="8"/>
        <v>-272.25429553264604</v>
      </c>
    </row>
    <row r="7" spans="1:13" x14ac:dyDescent="0.3">
      <c r="B7" s="17">
        <f t="shared" ca="1" si="0"/>
        <v>-69</v>
      </c>
      <c r="C7" s="20">
        <f t="shared" ca="1" si="1"/>
        <v>0</v>
      </c>
      <c r="D7" s="18">
        <f t="shared" ca="1" si="2"/>
        <v>0</v>
      </c>
      <c r="E7" s="18">
        <f t="shared" ca="1" si="3"/>
        <v>4.9930675909878683</v>
      </c>
      <c r="F7" s="18">
        <f t="shared" ca="1" si="4"/>
        <v>-344.52166377816292</v>
      </c>
      <c r="I7" s="19">
        <f t="shared" ca="1" si="5"/>
        <v>-69</v>
      </c>
      <c r="J7" s="18">
        <f t="shared" ca="1" si="6"/>
        <v>0</v>
      </c>
      <c r="K7" s="18">
        <f t="shared" ca="1" si="7"/>
        <v>0</v>
      </c>
      <c r="L7" s="18">
        <f ca="1">($K$3+SUMIFS($K$4:K7,$I$4:I7,"&gt;0"))/
($I$3+SUMIFS($I$4:I7,$I$4:I7,"&gt;0"))</f>
        <v>4.8616838487972505</v>
      </c>
      <c r="M7" s="18">
        <f t="shared" ca="1" si="8"/>
        <v>-335.45618556701027</v>
      </c>
    </row>
    <row r="8" spans="1:13" x14ac:dyDescent="0.3">
      <c r="B8" s="17">
        <f t="shared" ca="1" si="0"/>
        <v>197</v>
      </c>
      <c r="C8" s="20">
        <f t="shared" ca="1" si="1"/>
        <v>6</v>
      </c>
      <c r="D8" s="18">
        <f t="shared" ca="1" si="2"/>
        <v>1182</v>
      </c>
      <c r="E8" s="18">
        <f t="shared" ca="1" si="3"/>
        <v>4.9930675909878683</v>
      </c>
      <c r="F8" s="18">
        <f t="shared" ca="1" si="4"/>
        <v>0</v>
      </c>
      <c r="I8" s="19">
        <f t="shared" ca="1" si="5"/>
        <v>197</v>
      </c>
      <c r="J8" s="18">
        <f t="shared" ca="1" si="6"/>
        <v>6</v>
      </c>
      <c r="K8" s="18">
        <f t="shared" ca="1" si="7"/>
        <v>1182</v>
      </c>
      <c r="L8" s="18">
        <f ca="1">($K$3+SUMIFS($K$4:K8,$I$4:I8,"&gt;0"))/
($I$3+SUMIFS($I$4:I8,$I$4:I8,"&gt;0"))</f>
        <v>5.0264511388684792</v>
      </c>
      <c r="M8" s="18">
        <f t="shared" ca="1" si="8"/>
        <v>0</v>
      </c>
    </row>
    <row r="9" spans="1:13" x14ac:dyDescent="0.3">
      <c r="B9" s="17">
        <f t="shared" ca="1" si="0"/>
        <v>-22</v>
      </c>
      <c r="C9" s="20">
        <f t="shared" ca="1" si="1"/>
        <v>0</v>
      </c>
      <c r="D9" s="18">
        <f t="shared" ca="1" si="2"/>
        <v>0</v>
      </c>
      <c r="E9" s="18">
        <f t="shared" ca="1" si="3"/>
        <v>4.9930675909878683</v>
      </c>
      <c r="F9" s="18">
        <f t="shared" ca="1" si="4"/>
        <v>-109.8474870017331</v>
      </c>
      <c r="I9" s="19">
        <f t="shared" ca="1" si="5"/>
        <v>-22</v>
      </c>
      <c r="J9" s="18">
        <f t="shared" ca="1" si="6"/>
        <v>0</v>
      </c>
      <c r="K9" s="18">
        <f t="shared" ca="1" si="7"/>
        <v>0</v>
      </c>
      <c r="L9" s="18">
        <f ca="1">($K$3+SUMIFS($K$4:K9,$I$4:I9,"&gt;0"))/
($I$3+SUMIFS($I$4:I9,$I$4:I9,"&gt;0"))</f>
        <v>5.0264511388684792</v>
      </c>
      <c r="M9" s="18">
        <f t="shared" ca="1" si="8"/>
        <v>-110.58192505510654</v>
      </c>
    </row>
    <row r="10" spans="1:13" x14ac:dyDescent="0.3">
      <c r="B10" s="17">
        <f t="shared" ca="1" si="0"/>
        <v>-41</v>
      </c>
      <c r="C10" s="20">
        <f t="shared" ca="1" si="1"/>
        <v>0</v>
      </c>
      <c r="D10" s="18">
        <f t="shared" ca="1" si="2"/>
        <v>0</v>
      </c>
      <c r="E10" s="18">
        <f t="shared" ca="1" si="3"/>
        <v>4.9930675909878683</v>
      </c>
      <c r="F10" s="18">
        <f t="shared" ca="1" si="4"/>
        <v>-204.71577123050261</v>
      </c>
      <c r="I10" s="19">
        <f t="shared" ca="1" si="5"/>
        <v>-41</v>
      </c>
      <c r="J10" s="18">
        <f t="shared" ca="1" si="6"/>
        <v>0</v>
      </c>
      <c r="K10" s="18">
        <f t="shared" ca="1" si="7"/>
        <v>0</v>
      </c>
      <c r="L10" s="18">
        <f ca="1">($K$3+SUMIFS($K$4:K10,$I$4:I10,"&gt;0"))/
($I$3+SUMIFS($I$4:I10,$I$4:I10,"&gt;0"))</f>
        <v>5.0264511388684792</v>
      </c>
      <c r="M10" s="18">
        <f t="shared" ca="1" si="8"/>
        <v>-206.08449669360763</v>
      </c>
    </row>
    <row r="11" spans="1:13" x14ac:dyDescent="0.3">
      <c r="B11" s="17">
        <f t="shared" ca="1" si="0"/>
        <v>60</v>
      </c>
      <c r="C11" s="20">
        <f t="shared" ca="1" si="1"/>
        <v>5</v>
      </c>
      <c r="D11" s="18">
        <f t="shared" ca="1" si="2"/>
        <v>300</v>
      </c>
      <c r="E11" s="18">
        <f t="shared" ca="1" si="3"/>
        <v>4.9930675909878683</v>
      </c>
      <c r="F11" s="18">
        <f t="shared" ca="1" si="4"/>
        <v>0</v>
      </c>
      <c r="I11" s="19">
        <f t="shared" ca="1" si="5"/>
        <v>60</v>
      </c>
      <c r="J11" s="18">
        <f t="shared" ca="1" si="6"/>
        <v>5</v>
      </c>
      <c r="K11" s="18">
        <f t="shared" ca="1" si="7"/>
        <v>300</v>
      </c>
      <c r="L11" s="18">
        <f ca="1">($K$3+SUMIFS($K$4:K11,$I$4:I11,"&gt;0"))/
($I$3+SUMIFS($I$4:I11,$I$4:I11,"&gt;0"))</f>
        <v>5.0253342716396903</v>
      </c>
      <c r="M11" s="18">
        <f t="shared" ca="1" si="8"/>
        <v>0</v>
      </c>
    </row>
    <row r="12" spans="1:13" x14ac:dyDescent="0.3">
      <c r="B12" s="17">
        <f t="shared" ca="1" si="0"/>
        <v>150</v>
      </c>
      <c r="C12" s="20">
        <f t="shared" ca="1" si="1"/>
        <v>6</v>
      </c>
      <c r="D12" s="18">
        <f t="shared" ca="1" si="2"/>
        <v>900</v>
      </c>
      <c r="E12" s="18">
        <f t="shared" ca="1" si="3"/>
        <v>4.9930675909878683</v>
      </c>
      <c r="F12" s="18">
        <f t="shared" ca="1" si="4"/>
        <v>0</v>
      </c>
      <c r="I12" s="19">
        <f t="shared" ca="1" si="5"/>
        <v>150</v>
      </c>
      <c r="J12" s="18">
        <f t="shared" ca="1" si="6"/>
        <v>6</v>
      </c>
      <c r="K12" s="18">
        <f t="shared" ca="1" si="7"/>
        <v>900</v>
      </c>
      <c r="L12" s="18">
        <f ca="1">($K$3+SUMIFS($K$4:K12,$I$4:I12,"&gt;0"))/
($I$3+SUMIFS($I$4:I12,$I$4:I12,"&gt;0"))</f>
        <v>5.1183959261616803</v>
      </c>
      <c r="M12" s="18">
        <f t="shared" ca="1" si="8"/>
        <v>0</v>
      </c>
    </row>
    <row r="13" spans="1:13" x14ac:dyDescent="0.3">
      <c r="B13" s="17">
        <f t="shared" ca="1" si="0"/>
        <v>163</v>
      </c>
      <c r="C13" s="20">
        <f t="shared" ca="1" si="1"/>
        <v>7</v>
      </c>
      <c r="D13" s="18">
        <f t="shared" ca="1" si="2"/>
        <v>1141</v>
      </c>
      <c r="E13" s="18">
        <f t="shared" ca="1" si="3"/>
        <v>4.9930675909878683</v>
      </c>
      <c r="F13" s="18">
        <f t="shared" ca="1" si="4"/>
        <v>0</v>
      </c>
      <c r="I13" s="19">
        <f t="shared" ca="1" si="5"/>
        <v>163</v>
      </c>
      <c r="J13" s="18">
        <f t="shared" ca="1" si="6"/>
        <v>7</v>
      </c>
      <c r="K13" s="18">
        <f t="shared" ca="1" si="7"/>
        <v>1141</v>
      </c>
      <c r="L13" s="18">
        <f ca="1">($K$3+SUMIFS($K$4:K13,$I$4:I13,"&gt;0"))/
($I$3+SUMIFS($I$4:I13,$I$4:I13,"&gt;0"))</f>
        <v>5.2952710495963089</v>
      </c>
      <c r="M13" s="18">
        <f t="shared" ca="1" si="8"/>
        <v>0</v>
      </c>
    </row>
    <row r="14" spans="1:13" x14ac:dyDescent="0.3">
      <c r="B14" s="17">
        <f t="shared" ca="1" si="0"/>
        <v>-82</v>
      </c>
      <c r="C14" s="20">
        <f t="shared" ca="1" si="1"/>
        <v>0</v>
      </c>
      <c r="D14" s="18">
        <f t="shared" ca="1" si="2"/>
        <v>0</v>
      </c>
      <c r="E14" s="18">
        <f t="shared" ca="1" si="3"/>
        <v>4.9930675909878683</v>
      </c>
      <c r="F14" s="18">
        <f t="shared" ca="1" si="4"/>
        <v>-409.43154246100522</v>
      </c>
      <c r="I14" s="19">
        <f t="shared" ca="1" si="5"/>
        <v>-82</v>
      </c>
      <c r="J14" s="18">
        <f t="shared" ca="1" si="6"/>
        <v>0</v>
      </c>
      <c r="K14" s="18">
        <f t="shared" ca="1" si="7"/>
        <v>0</v>
      </c>
      <c r="L14" s="18">
        <f ca="1">($K$3+SUMIFS($K$4:K14,$I$4:I14,"&gt;0"))/
($I$3+SUMIFS($I$4:I14,$I$4:I14,"&gt;0"))</f>
        <v>5.2952710495963089</v>
      </c>
      <c r="M14" s="18">
        <f t="shared" ca="1" si="8"/>
        <v>-434.2122260668973</v>
      </c>
    </row>
    <row r="15" spans="1:13" x14ac:dyDescent="0.3">
      <c r="B15" s="17">
        <f t="shared" ca="1" si="0"/>
        <v>-31</v>
      </c>
      <c r="C15" s="20">
        <f t="shared" ca="1" si="1"/>
        <v>0</v>
      </c>
      <c r="D15" s="18">
        <f t="shared" ca="1" si="2"/>
        <v>0</v>
      </c>
      <c r="E15" s="18">
        <f t="shared" ca="1" si="3"/>
        <v>4.9930675909878683</v>
      </c>
      <c r="F15" s="18">
        <f t="shared" ca="1" si="4"/>
        <v>-154.78509532062392</v>
      </c>
      <c r="I15" s="19">
        <f t="shared" ca="1" si="5"/>
        <v>-31</v>
      </c>
      <c r="J15" s="18">
        <f t="shared" ca="1" si="6"/>
        <v>0</v>
      </c>
      <c r="K15" s="18">
        <f t="shared" ca="1" si="7"/>
        <v>0</v>
      </c>
      <c r="L15" s="18">
        <f ca="1">($K$3+SUMIFS($K$4:K15,$I$4:I15,"&gt;0"))/
($I$3+SUMIFS($I$4:I15,$I$4:I15,"&gt;0"))</f>
        <v>5.2952710495963089</v>
      </c>
      <c r="M15" s="18">
        <f t="shared" ca="1" si="8"/>
        <v>-164.15340253748559</v>
      </c>
    </row>
    <row r="16" spans="1:13" x14ac:dyDescent="0.3">
      <c r="B16" s="17">
        <f t="shared" ca="1" si="0"/>
        <v>125</v>
      </c>
      <c r="C16" s="20">
        <f t="shared" ca="1" si="1"/>
        <v>3</v>
      </c>
      <c r="D16" s="18">
        <f t="shared" ca="1" si="2"/>
        <v>375</v>
      </c>
      <c r="E16" s="18">
        <f t="shared" ca="1" si="3"/>
        <v>4.9930675909878683</v>
      </c>
      <c r="F16" s="18">
        <f t="shared" ca="1" si="4"/>
        <v>0</v>
      </c>
      <c r="I16" s="19">
        <f t="shared" ca="1" si="5"/>
        <v>125</v>
      </c>
      <c r="J16" s="18">
        <f t="shared" ca="1" si="6"/>
        <v>3</v>
      </c>
      <c r="K16" s="18">
        <f t="shared" ca="1" si="7"/>
        <v>375</v>
      </c>
      <c r="L16" s="18">
        <f ca="1">($K$3+SUMIFS($K$4:K16,$I$4:I16,"&gt;0"))/
($I$3+SUMIFS($I$4:I16,$I$4:I16,"&gt;0"))</f>
        <v>5.1409359870898337</v>
      </c>
      <c r="M16" s="18">
        <f t="shared" ca="1" si="8"/>
        <v>0</v>
      </c>
    </row>
    <row r="17" spans="1:16372" x14ac:dyDescent="0.3">
      <c r="B17" s="17">
        <f t="shared" ca="1" si="0"/>
        <v>52</v>
      </c>
      <c r="C17" s="20">
        <f t="shared" ca="1" si="1"/>
        <v>5</v>
      </c>
      <c r="D17" s="18">
        <f t="shared" ca="1" si="2"/>
        <v>260</v>
      </c>
      <c r="E17" s="18">
        <f t="shared" ca="1" si="3"/>
        <v>4.9930675909878683</v>
      </c>
      <c r="F17" s="18">
        <f t="shared" ca="1" si="4"/>
        <v>0</v>
      </c>
      <c r="I17" s="19">
        <f t="shared" ca="1" si="5"/>
        <v>52</v>
      </c>
      <c r="J17" s="18">
        <f t="shared" ca="1" si="6"/>
        <v>5</v>
      </c>
      <c r="K17" s="18">
        <f t="shared" ca="1" si="7"/>
        <v>260</v>
      </c>
      <c r="L17" s="18">
        <f ca="1">($K$3+SUMIFS($K$4:K17,$I$4:I17,"&gt;0"))/
($I$3+SUMIFS($I$4:I17,$I$4:I17,"&gt;0"))</f>
        <v>5.137100994243851</v>
      </c>
      <c r="M17" s="18">
        <f t="shared" ca="1" si="8"/>
        <v>0</v>
      </c>
    </row>
    <row r="18" spans="1:16372" x14ac:dyDescent="0.3">
      <c r="B18" s="17">
        <f t="shared" ca="1" si="0"/>
        <v>-126</v>
      </c>
      <c r="C18" s="20">
        <f t="shared" ca="1" si="1"/>
        <v>0</v>
      </c>
      <c r="D18" s="18">
        <f t="shared" ca="1" si="2"/>
        <v>0</v>
      </c>
      <c r="E18" s="18">
        <f t="shared" ca="1" si="3"/>
        <v>4.9930675909878683</v>
      </c>
      <c r="F18" s="18">
        <f t="shared" ca="1" si="4"/>
        <v>-629.12651646447136</v>
      </c>
      <c r="I18" s="19">
        <f t="shared" ca="1" si="5"/>
        <v>-126</v>
      </c>
      <c r="J18" s="18">
        <f t="shared" ca="1" si="6"/>
        <v>0</v>
      </c>
      <c r="K18" s="18">
        <f t="shared" ca="1" si="7"/>
        <v>0</v>
      </c>
      <c r="L18" s="18">
        <f ca="1">($K$3+SUMIFS($K$4:K18,$I$4:I18,"&gt;0"))/
($I$3+SUMIFS($I$4:I18,$I$4:I18,"&gt;0"))</f>
        <v>5.137100994243851</v>
      </c>
      <c r="M18" s="18">
        <f t="shared" ca="1" si="8"/>
        <v>-647.27472527472526</v>
      </c>
    </row>
    <row r="19" spans="1:16372" x14ac:dyDescent="0.3">
      <c r="B19" s="17">
        <f t="shared" ca="1" si="0"/>
        <v>85</v>
      </c>
      <c r="C19" s="20">
        <f t="shared" ca="1" si="1"/>
        <v>7</v>
      </c>
      <c r="D19" s="18">
        <f t="shared" ca="1" si="2"/>
        <v>595</v>
      </c>
      <c r="E19" s="18">
        <f t="shared" ca="1" si="3"/>
        <v>4.9930675909878683</v>
      </c>
      <c r="F19" s="18">
        <f t="shared" ca="1" si="4"/>
        <v>0</v>
      </c>
      <c r="I19" s="19">
        <f t="shared" ca="1" si="5"/>
        <v>85</v>
      </c>
      <c r="J19" s="18">
        <f t="shared" ca="1" si="6"/>
        <v>7</v>
      </c>
      <c r="K19" s="18">
        <f t="shared" ca="1" si="7"/>
        <v>595</v>
      </c>
      <c r="L19" s="18">
        <f ca="1">($K$3+SUMIFS($K$4:K19,$I$4:I19,"&gt;0"))/
($I$3+SUMIFS($I$4:I19,$I$4:I19,"&gt;0"))</f>
        <v>5.2164328657314627</v>
      </c>
      <c r="M19" s="18">
        <f t="shared" ca="1" si="8"/>
        <v>0</v>
      </c>
    </row>
    <row r="20" spans="1:16372" x14ac:dyDescent="0.3">
      <c r="B20" s="17">
        <f t="shared" ca="1" si="0"/>
        <v>-101</v>
      </c>
      <c r="C20" s="20">
        <f t="shared" ca="1" si="1"/>
        <v>0</v>
      </c>
      <c r="D20" s="18">
        <f t="shared" ca="1" si="2"/>
        <v>0</v>
      </c>
      <c r="E20" s="18">
        <f t="shared" ca="1" si="3"/>
        <v>4.9930675909878683</v>
      </c>
      <c r="F20" s="18">
        <f t="shared" ca="1" si="4"/>
        <v>-504.2998266897747</v>
      </c>
      <c r="I20" s="19">
        <f t="shared" ca="1" si="5"/>
        <v>-101</v>
      </c>
      <c r="J20" s="18">
        <f t="shared" ca="1" si="6"/>
        <v>0</v>
      </c>
      <c r="K20" s="18">
        <f t="shared" ca="1" si="7"/>
        <v>0</v>
      </c>
      <c r="L20" s="18">
        <f ca="1">($K$3+SUMIFS($K$4:K20,$I$4:I20,"&gt;0"))/
($I$3+SUMIFS($I$4:I20,$I$4:I20,"&gt;0"))</f>
        <v>5.2164328657314627</v>
      </c>
      <c r="M20" s="18">
        <f t="shared" ca="1" si="8"/>
        <v>-526.85971943887773</v>
      </c>
    </row>
    <row r="21" spans="1:16372" x14ac:dyDescent="0.3">
      <c r="B21" s="17">
        <f t="shared" ca="1" si="0"/>
        <v>-169</v>
      </c>
      <c r="C21" s="20">
        <f t="shared" ca="1" si="1"/>
        <v>0</v>
      </c>
      <c r="D21" s="18">
        <f t="shared" ca="1" si="2"/>
        <v>0</v>
      </c>
      <c r="E21" s="18">
        <f t="shared" ca="1" si="3"/>
        <v>4.9930675909878683</v>
      </c>
      <c r="F21" s="18">
        <f t="shared" ca="1" si="4"/>
        <v>-843.82842287694973</v>
      </c>
      <c r="I21" s="19">
        <f t="shared" ca="1" si="5"/>
        <v>-169</v>
      </c>
      <c r="J21" s="18">
        <f t="shared" ca="1" si="6"/>
        <v>0</v>
      </c>
      <c r="K21" s="18">
        <f t="shared" ca="1" si="7"/>
        <v>0</v>
      </c>
      <c r="L21" s="18">
        <f ca="1">($K$3+SUMIFS($K$4:K21,$I$4:I21,"&gt;0"))/
($I$3+SUMIFS($I$4:I21,$I$4:I21,"&gt;0"))</f>
        <v>5.2164328657314627</v>
      </c>
      <c r="M21" s="18">
        <f t="shared" ca="1" si="8"/>
        <v>-881.5771543086172</v>
      </c>
    </row>
    <row r="22" spans="1:16372" x14ac:dyDescent="0.3">
      <c r="B22" s="17">
        <f t="shared" ca="1" si="0"/>
        <v>-5</v>
      </c>
      <c r="C22" s="20">
        <f t="shared" ca="1" si="1"/>
        <v>0</v>
      </c>
      <c r="D22" s="18">
        <f t="shared" ca="1" si="2"/>
        <v>0</v>
      </c>
      <c r="E22" s="18">
        <f t="shared" ca="1" si="3"/>
        <v>4.9930675909878683</v>
      </c>
      <c r="F22" s="18">
        <f t="shared" ca="1" si="4"/>
        <v>-24.965337954939343</v>
      </c>
      <c r="I22" s="19">
        <f t="shared" ca="1" si="5"/>
        <v>-5</v>
      </c>
      <c r="J22" s="18">
        <f t="shared" ca="1" si="6"/>
        <v>0</v>
      </c>
      <c r="K22" s="18">
        <f t="shared" ca="1" si="7"/>
        <v>0</v>
      </c>
      <c r="L22" s="18">
        <f ca="1">($K$3+SUMIFS($K$4:K22,$I$4:I22,"&gt;0"))/
($I$3+SUMIFS($I$4:I22,$I$4:I22,"&gt;0"))</f>
        <v>5.2164328657314627</v>
      </c>
      <c r="M22" s="18">
        <f t="shared" ca="1" si="8"/>
        <v>-26.082164328657313</v>
      </c>
    </row>
    <row r="23" spans="1:16372" x14ac:dyDescent="0.3">
      <c r="B23" s="17">
        <f t="shared" ca="1" si="0"/>
        <v>-141</v>
      </c>
      <c r="C23" s="20">
        <f t="shared" ca="1" si="1"/>
        <v>0</v>
      </c>
      <c r="D23" s="18">
        <f t="shared" ca="1" si="2"/>
        <v>0</v>
      </c>
      <c r="E23" s="18">
        <f t="shared" ca="1" si="3"/>
        <v>4.9930675909878683</v>
      </c>
      <c r="F23" s="18">
        <f t="shared" ca="1" si="4"/>
        <v>-704.02253032928945</v>
      </c>
      <c r="I23" s="19">
        <f t="shared" ca="1" si="5"/>
        <v>-141</v>
      </c>
      <c r="J23" s="18">
        <f t="shared" ca="1" si="6"/>
        <v>0</v>
      </c>
      <c r="K23" s="18">
        <f t="shared" ca="1" si="7"/>
        <v>0</v>
      </c>
      <c r="L23" s="18">
        <f ca="1">($K$3+SUMIFS($K$4:K23,$I$4:I23,"&gt;0"))/
($I$3+SUMIFS($I$4:I23,$I$4:I23,"&gt;0"))</f>
        <v>5.2164328657314627</v>
      </c>
      <c r="M23" s="18">
        <f t="shared" ca="1" si="8"/>
        <v>-735.51703406813624</v>
      </c>
    </row>
    <row r="24" spans="1:16372" x14ac:dyDescent="0.3">
      <c r="B24" s="17">
        <f t="shared" ca="1" si="0"/>
        <v>176</v>
      </c>
      <c r="C24" s="20">
        <f t="shared" ca="1" si="1"/>
        <v>4</v>
      </c>
      <c r="D24" s="18">
        <f t="shared" ca="1" si="2"/>
        <v>704</v>
      </c>
      <c r="E24" s="18">
        <f t="shared" ca="1" si="3"/>
        <v>4.9930675909878683</v>
      </c>
      <c r="F24" s="18">
        <f t="shared" ca="1" si="4"/>
        <v>0</v>
      </c>
      <c r="I24" s="19">
        <f t="shared" ca="1" si="5"/>
        <v>176</v>
      </c>
      <c r="J24" s="18">
        <f t="shared" ca="1" si="6"/>
        <v>4</v>
      </c>
      <c r="K24" s="18">
        <f t="shared" ca="1" si="7"/>
        <v>704</v>
      </c>
      <c r="L24" s="18">
        <f ca="1">($K$3+SUMIFS($K$4:K24,$I$4:I24,"&gt;0"))/
($I$3+SUMIFS($I$4:I24,$I$4:I24,"&gt;0"))</f>
        <v>5.1178637200736645</v>
      </c>
      <c r="M24" s="18">
        <f t="shared" ca="1" si="8"/>
        <v>0</v>
      </c>
    </row>
    <row r="25" spans="1:16372" x14ac:dyDescent="0.3">
      <c r="B25" s="17">
        <f t="shared" ca="1" si="0"/>
        <v>136</v>
      </c>
      <c r="C25" s="20">
        <f t="shared" ca="1" si="1"/>
        <v>3</v>
      </c>
      <c r="D25" s="18">
        <f t="shared" ca="1" si="2"/>
        <v>408</v>
      </c>
      <c r="E25" s="18">
        <f t="shared" ca="1" si="3"/>
        <v>4.9930675909878683</v>
      </c>
      <c r="F25" s="18">
        <f t="shared" ca="1" si="4"/>
        <v>0</v>
      </c>
      <c r="I25" s="19">
        <f t="shared" ca="1" si="5"/>
        <v>136</v>
      </c>
      <c r="J25" s="18">
        <f t="shared" ca="1" si="6"/>
        <v>3</v>
      </c>
      <c r="K25" s="18">
        <f t="shared" ca="1" si="7"/>
        <v>408</v>
      </c>
      <c r="L25" s="18">
        <f ca="1">($K$3+SUMIFS($K$4:K25,$I$4:I25,"&gt;0"))/
($I$3+SUMIFS($I$4:I25,$I$4:I25,"&gt;0"))</f>
        <v>4.9930675909878683</v>
      </c>
      <c r="M25" s="18">
        <f t="shared" ca="1" si="8"/>
        <v>0</v>
      </c>
    </row>
    <row r="26" spans="1:16372" x14ac:dyDescent="0.3">
      <c r="B26" s="17">
        <f t="shared" ca="1" si="0"/>
        <v>-172</v>
      </c>
      <c r="C26" s="20">
        <f t="shared" ca="1" si="1"/>
        <v>0</v>
      </c>
      <c r="D26" s="18">
        <f t="shared" ca="1" si="2"/>
        <v>0</v>
      </c>
      <c r="E26" s="18">
        <f t="shared" ca="1" si="3"/>
        <v>4.9930675909878683</v>
      </c>
      <c r="F26" s="18">
        <f t="shared" ca="1" si="4"/>
        <v>-858.80762564991335</v>
      </c>
      <c r="I26" s="19">
        <f t="shared" ca="1" si="5"/>
        <v>-172</v>
      </c>
      <c r="J26" s="18">
        <f t="shared" ca="1" si="6"/>
        <v>0</v>
      </c>
      <c r="K26" s="18">
        <f t="shared" ca="1" si="7"/>
        <v>0</v>
      </c>
      <c r="L26" s="18">
        <f ca="1">($K$3+SUMIFS($K$4:K26,$I$4:I26,"&gt;0"))/
($I$3+SUMIFS($I$4:I26,$I$4:I26,"&gt;0"))</f>
        <v>4.9930675909878683</v>
      </c>
      <c r="M26" s="18">
        <f t="shared" ca="1" si="8"/>
        <v>-858.80762564991335</v>
      </c>
    </row>
    <row r="27" spans="1:16372" x14ac:dyDescent="0.3">
      <c r="B27" s="17">
        <f t="shared" ca="1" si="0"/>
        <v>-150</v>
      </c>
      <c r="C27" s="20">
        <f t="shared" ca="1" si="1"/>
        <v>0</v>
      </c>
      <c r="D27" s="18">
        <f t="shared" ca="1" si="2"/>
        <v>0</v>
      </c>
      <c r="E27" s="18">
        <f t="shared" ca="1" si="3"/>
        <v>4.9930675909878683</v>
      </c>
      <c r="F27" s="18">
        <f t="shared" ca="1" si="4"/>
        <v>-748.9601386481803</v>
      </c>
      <c r="I27" s="19">
        <f t="shared" ca="1" si="5"/>
        <v>-150</v>
      </c>
      <c r="J27" s="18">
        <f t="shared" ca="1" si="6"/>
        <v>0</v>
      </c>
      <c r="K27" s="18">
        <f t="shared" ca="1" si="7"/>
        <v>0</v>
      </c>
      <c r="L27" s="18">
        <f ca="1">($K$3+SUMIFS($K$4:K27,$I$4:I27,"&gt;0"))/
($I$3+SUMIFS($I$4:I27,$I$4:I27,"&gt;0"))</f>
        <v>4.9930675909878683</v>
      </c>
      <c r="M27" s="18">
        <f t="shared" ca="1" si="8"/>
        <v>-748.9601386481803</v>
      </c>
    </row>
    <row r="28" spans="1:16372" ht="19.5" thickBot="1" x14ac:dyDescent="0.35">
      <c r="B28" s="17">
        <f t="shared" ca="1" si="0"/>
        <v>-72</v>
      </c>
      <c r="C28" s="20">
        <f t="shared" ca="1" si="1"/>
        <v>0</v>
      </c>
      <c r="D28" s="18">
        <f t="shared" ca="1" si="2"/>
        <v>0</v>
      </c>
      <c r="E28" s="18">
        <f t="shared" ca="1" si="3"/>
        <v>4.9930675909878683</v>
      </c>
      <c r="F28" s="18">
        <f t="shared" ca="1" si="4"/>
        <v>-359.50086655112653</v>
      </c>
      <c r="I28" s="19">
        <f t="shared" ca="1" si="5"/>
        <v>-72</v>
      </c>
      <c r="J28" s="18">
        <f t="shared" ca="1" si="6"/>
        <v>0</v>
      </c>
      <c r="K28" s="18">
        <f t="shared" ca="1" si="7"/>
        <v>0</v>
      </c>
      <c r="L28" s="18">
        <f ca="1">($K$3+SUMIFS($K$4:K28,$I$4:I28,"&gt;0"))/
($I$3+SUMIFS($I$4:I28,$I$4:I28,"&gt;0"))</f>
        <v>4.9930675909878683</v>
      </c>
      <c r="M28" s="18">
        <f t="shared" ca="1" si="8"/>
        <v>-359.50086655112653</v>
      </c>
    </row>
    <row r="29" spans="1:16372" ht="19.5" thickTop="1" x14ac:dyDescent="0.3">
      <c r="A29" s="16" t="s">
        <v>71</v>
      </c>
      <c r="B29" s="15">
        <f ca="1">+SUM(B4:B28)</f>
        <v>71</v>
      </c>
      <c r="C29" s="13">
        <f ca="1">+SUMIFS(C4:C28,C4:C28,"&gt;0")/COUNTIFS(C4:C28,"&gt;0")</f>
        <v>5.1818181818181817</v>
      </c>
      <c r="D29" s="13">
        <f ca="1">+SUM(D4:D28)</f>
        <v>6524</v>
      </c>
      <c r="E29" s="14"/>
      <c r="F29" s="13">
        <f ca="1">+SUM(F4:F28)</f>
        <v>-6176.4246100519931</v>
      </c>
      <c r="G29" s="17"/>
      <c r="H29" s="16" t="s">
        <v>71</v>
      </c>
      <c r="I29" s="15">
        <f ca="1">+SUM(I4:I28)</f>
        <v>71</v>
      </c>
      <c r="J29" s="13">
        <f ca="1">+C29</f>
        <v>5.1818181818181817</v>
      </c>
      <c r="K29" s="13">
        <f ca="1">+SUM(K4:K28)</f>
        <v>6524</v>
      </c>
      <c r="L29" s="14"/>
      <c r="M29" s="13">
        <f ca="1">+SUM(M4:M28)</f>
        <v>-6307.3219597209873</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1071</v>
      </c>
      <c r="C31" s="10">
        <f ca="1">+E28</f>
        <v>4.9930675909878683</v>
      </c>
      <c r="D31" s="10">
        <f ca="1">+B31*C31</f>
        <v>5347.5753899480069</v>
      </c>
      <c r="E31" s="9"/>
      <c r="F31" s="9"/>
      <c r="G31" s="12"/>
      <c r="H31" s="8" t="s">
        <v>70</v>
      </c>
      <c r="I31" s="11">
        <f ca="1">I3+SUM(I4:I28)</f>
        <v>1071</v>
      </c>
      <c r="J31" s="10">
        <f ca="1">+L28</f>
        <v>4.9930675909878683</v>
      </c>
      <c r="K31" s="10">
        <f ca="1">+I31*J31</f>
        <v>5347.5753899480069</v>
      </c>
      <c r="L31" s="9"/>
      <c r="M31" s="9"/>
    </row>
    <row r="34" spans="11:13" x14ac:dyDescent="0.3">
      <c r="K34" s="28" t="s">
        <v>81</v>
      </c>
      <c r="M34" s="18">
        <f ca="1">-M29--F29</f>
        <v>130.89734966899414</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22:A25"/>
    <mergeCell ref="B2:B5"/>
    <mergeCell ref="B6:B9"/>
    <mergeCell ref="B10:B13"/>
    <mergeCell ref="B14:B17"/>
    <mergeCell ref="B18:B21"/>
    <mergeCell ref="B22:B25"/>
    <mergeCell ref="A2:A5"/>
    <mergeCell ref="A6:A9"/>
    <mergeCell ref="A10:A13"/>
    <mergeCell ref="A14:A17"/>
    <mergeCell ref="A18:A21"/>
    <mergeCell ref="A26:A29"/>
    <mergeCell ref="A30:A33"/>
    <mergeCell ref="A34:A37"/>
    <mergeCell ref="B38:B41"/>
    <mergeCell ref="B42:B45"/>
    <mergeCell ref="A38:A41"/>
    <mergeCell ref="A42:A45"/>
    <mergeCell ref="B26:B29"/>
    <mergeCell ref="B30:B33"/>
    <mergeCell ref="B34:B37"/>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QUAN_LY_TON_KHO_DINH_MUC</vt:lpstr>
      <vt:lpstr>WORK_FLOW</vt:lpstr>
      <vt:lpstr>TABLE</vt:lpstr>
      <vt:lpstr>USER_FLOW_KINH_DOANH_TV</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lpstr>USER_FLOW_KINH_DOANH_TV!Print_Area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2025-02-08T01:52:26Z</cp:lastPrinted>
  <dcterms:created xsi:type="dcterms:W3CDTF">2015-06-05T18:17:20Z</dcterms:created>
  <dcterms:modified xsi:type="dcterms:W3CDTF">2025-02-08T02:02:05Z</dcterms:modified>
</cp:coreProperties>
</file>